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cloudua-my.sharepoint.com/personal/eduard_kuznietsov_gigacloud_ua/Documents/Desktop/"/>
    </mc:Choice>
  </mc:AlternateContent>
  <xr:revisionPtr revIDLastSave="0" documentId="8_{643591BA-E76E-E941-A5F3-A2AD66F74CE7}" xr6:coauthVersionLast="47" xr6:coauthVersionMax="47" xr10:uidLastSave="{00000000-0000-0000-0000-000000000000}"/>
  <bookViews>
    <workbookView xWindow="-11320" yWindow="-28200" windowWidth="51200" windowHeight="28200" firstSheet="6" activeTab="3" xr2:uid="{89526B56-CCB0-DC46-BC95-D9C73A775B08}"/>
  </bookViews>
  <sheets>
    <sheet name="General" sheetId="1" state="hidden" r:id="rId1"/>
    <sheet name="Model A - direct" sheetId="7" state="hidden" r:id="rId2"/>
    <sheet name="Models" sheetId="8" r:id="rId3"/>
    <sheet name="Finance" sheetId="11" r:id="rId4"/>
    <sheet name="Todo" sheetId="6" r:id="rId5"/>
    <sheet name="Продукти" sheetId="2" r:id="rId6"/>
    <sheet name="Структура відділів" sheetId="3" r:id="rId7"/>
    <sheet name="fin исходник" sheetId="5" r:id="rId8"/>
  </sheets>
  <calcPr calcId="191028" iterate="1" iterateCount="1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8" l="1"/>
  <c r="C57" i="8"/>
  <c r="C58" i="8"/>
  <c r="M29" i="8"/>
  <c r="N29" i="8"/>
  <c r="M24" i="8"/>
  <c r="N24" i="8"/>
  <c r="D64" i="8"/>
  <c r="D65" i="8"/>
  <c r="D66" i="8"/>
  <c r="D63" i="8"/>
  <c r="F66" i="8"/>
  <c r="F65" i="8"/>
  <c r="F64" i="8"/>
  <c r="F63" i="8"/>
  <c r="J22" i="8"/>
  <c r="M22" i="8"/>
  <c r="N22" i="8"/>
  <c r="J8" i="8"/>
  <c r="K8" i="8"/>
  <c r="J9" i="8"/>
  <c r="K9" i="8"/>
  <c r="J10" i="8"/>
  <c r="K10" i="8"/>
  <c r="J11" i="8"/>
  <c r="K11" i="8"/>
  <c r="J12" i="8"/>
  <c r="K12" i="8"/>
  <c r="K7" i="8"/>
  <c r="H13" i="8"/>
  <c r="D13" i="8"/>
  <c r="F13" i="8"/>
  <c r="K12" i="7"/>
  <c r="H14" i="2"/>
  <c r="J14" i="2"/>
  <c r="E14" i="2"/>
  <c r="O4" i="2"/>
  <c r="O5" i="2"/>
  <c r="O6" i="2"/>
  <c r="O7" i="2"/>
  <c r="O8" i="2"/>
  <c r="O9" i="2"/>
  <c r="F11" i="2"/>
  <c r="G11" i="2"/>
  <c r="H11" i="2"/>
  <c r="I11" i="2"/>
  <c r="J11" i="2"/>
  <c r="K11" i="2"/>
  <c r="L11" i="2"/>
  <c r="E11" i="2"/>
  <c r="F4" i="1"/>
  <c r="H4" i="1"/>
  <c r="I4" i="1"/>
  <c r="F5" i="1"/>
  <c r="H5" i="1"/>
  <c r="I5" i="1"/>
  <c r="F6" i="1"/>
  <c r="H6" i="1"/>
  <c r="I6" i="1"/>
  <c r="F7" i="1"/>
  <c r="H7" i="1"/>
  <c r="I7" i="1"/>
  <c r="F9" i="1"/>
  <c r="H9" i="1"/>
  <c r="I9" i="1"/>
  <c r="F11" i="1"/>
  <c r="H11" i="1"/>
  <c r="I11" i="1"/>
  <c r="F12" i="1"/>
  <c r="H12" i="1"/>
  <c r="F13" i="1"/>
  <c r="H13" i="1"/>
  <c r="I13" i="1"/>
  <c r="F14" i="1"/>
  <c r="H14" i="1"/>
  <c r="I14" i="1"/>
  <c r="F15" i="1"/>
  <c r="H15" i="1"/>
  <c r="I15" i="1"/>
  <c r="F16" i="1"/>
  <c r="H16" i="1"/>
  <c r="I16" i="1"/>
  <c r="F17" i="1"/>
  <c r="H17" i="1"/>
  <c r="I17" i="1"/>
  <c r="F18" i="1"/>
  <c r="H18" i="1"/>
  <c r="I18" i="1"/>
  <c r="F21" i="1"/>
  <c r="H21" i="1"/>
  <c r="I21" i="1"/>
  <c r="F22" i="1"/>
  <c r="H22" i="1"/>
  <c r="I22" i="1"/>
  <c r="F23" i="1"/>
  <c r="H23" i="1"/>
  <c r="I23" i="1"/>
  <c r="F24" i="1"/>
  <c r="H24" i="1"/>
  <c r="I24" i="1"/>
  <c r="F3" i="1"/>
  <c r="H3" i="1"/>
  <c r="I3" i="1"/>
  <c r="E64" i="8"/>
  <c r="G64" i="8"/>
  <c r="H64" i="8"/>
  <c r="E65" i="8"/>
  <c r="G65" i="8"/>
  <c r="H65" i="8"/>
  <c r="E66" i="8"/>
  <c r="G66" i="8"/>
  <c r="H66" i="8"/>
  <c r="E63" i="8"/>
  <c r="G63" i="8"/>
  <c r="H63" i="8"/>
  <c r="J13" i="8"/>
  <c r="K13" i="8"/>
  <c r="K14" i="2"/>
  <c r="I14" i="2"/>
  <c r="G14" i="2"/>
  <c r="L14" i="2"/>
  <c r="F14" i="2"/>
  <c r="K20" i="1"/>
  <c r="F20" i="1"/>
  <c r="H20" i="1"/>
  <c r="I20" i="1"/>
  <c r="K10" i="1"/>
  <c r="F10" i="1"/>
  <c r="H10" i="1"/>
  <c r="I10" i="1"/>
  <c r="K8" i="1"/>
  <c r="F8" i="1"/>
  <c r="H8" i="1"/>
  <c r="I8" i="1"/>
  <c r="K19" i="1"/>
  <c r="F19" i="1"/>
  <c r="H19" i="1"/>
  <c r="I19" i="1"/>
</calcChain>
</file>

<file path=xl/sharedStrings.xml><?xml version="1.0" encoding="utf-8"?>
<sst xmlns="http://schemas.openxmlformats.org/spreadsheetml/2006/main" count="675" uniqueCount="353">
  <si>
    <t>Коственные расходы на продукты за 12? месяцев</t>
  </si>
  <si>
    <t>Административные разходы на продукты за 12? месяцев</t>
  </si>
  <si>
    <t>Product type</t>
  </si>
  <si>
    <t>Product category</t>
  </si>
  <si>
    <t>Маркетинг</t>
  </si>
  <si>
    <t>Продажи</t>
  </si>
  <si>
    <t>Пресейл</t>
  </si>
  <si>
    <t>Total</t>
  </si>
  <si>
    <t>Total (y)</t>
  </si>
  <si>
    <t>Total (m)</t>
  </si>
  <si>
    <t>gross profit share</t>
  </si>
  <si>
    <t xml:space="preserve">ЗП </t>
  </si>
  <si>
    <t>Бюджети відділів (окрім комерційних)</t>
  </si>
  <si>
    <t>Оренда офісу</t>
  </si>
  <si>
    <t>Внутрішня ІТ інфраструктура</t>
  </si>
  <si>
    <t>Інше</t>
  </si>
  <si>
    <t>Add-on tools</t>
  </si>
  <si>
    <t>AI Ops Tools</t>
  </si>
  <si>
    <t>Dev Ops Tools</t>
  </si>
  <si>
    <t>Cybersecurity Tools</t>
  </si>
  <si>
    <t>Data Ops Tools</t>
  </si>
  <si>
    <t>Bundle</t>
  </si>
  <si>
    <t>Core infrastructure</t>
  </si>
  <si>
    <t>Public cloud</t>
  </si>
  <si>
    <t>Private server</t>
  </si>
  <si>
    <t>Private cloud</t>
  </si>
  <si>
    <t>Our services</t>
  </si>
  <si>
    <t>Cybersecurity Services</t>
  </si>
  <si>
    <t>DevOps services</t>
  </si>
  <si>
    <t>Infrastructure Services</t>
  </si>
  <si>
    <t>AI services</t>
  </si>
  <si>
    <t>Specialized Infrastructure</t>
  </si>
  <si>
    <t>Virtual Desktops</t>
  </si>
  <si>
    <t xml:space="preserve">             -   UAH</t>
  </si>
  <si>
    <t>Storage</t>
  </si>
  <si>
    <t>Advanced Memory</t>
  </si>
  <si>
    <t>GPU &amp; AI Infrastructure</t>
  </si>
  <si>
    <t>Business Continuity</t>
  </si>
  <si>
    <t>Third-party licenses</t>
  </si>
  <si>
    <t>Business Software</t>
  </si>
  <si>
    <t>Hyperscaler Cloud Services</t>
  </si>
  <si>
    <t>Infrastructure Software</t>
  </si>
  <si>
    <t>Cybersecurity Software</t>
  </si>
  <si>
    <t>Third-party services</t>
  </si>
  <si>
    <t>Telecom Services</t>
  </si>
  <si>
    <t>Прямые затраты на продукты:</t>
  </si>
  <si>
    <t>Маркетинговые затраты - реклама, лендинги, контент, участие в выставках, если они таркетированные</t>
  </si>
  <si>
    <t>Сейлз/пресейлз-бонус за конкретный продукт</t>
  </si>
  <si>
    <t>Затраты на инструменты - подписки и другое ПО</t>
  </si>
  <si>
    <t>30 лямів адміністративна</t>
  </si>
  <si>
    <t>Delivery</t>
  </si>
  <si>
    <t>Support</t>
  </si>
  <si>
    <t>Installation</t>
  </si>
  <si>
    <t>Maintenance (month)</t>
  </si>
  <si>
    <t>Component category</t>
  </si>
  <si>
    <t>Avg customer lifetime</t>
  </si>
  <si>
    <t>Role 1</t>
  </si>
  <si>
    <t>Role 2</t>
  </si>
  <si>
    <t>Role 3</t>
  </si>
  <si>
    <t>L2 Private Line Kyiv-Lviv (UA-GC/BM - UA-LV) (2000-3000 Mbit), 1 Mbit / sec.</t>
  </si>
  <si>
    <t>Internet</t>
  </si>
  <si>
    <t>Internet Line for PL-EQ (1 IP addess, 100 Mbit/s World)</t>
  </si>
  <si>
    <t>Total cash / month (net salary + tax + insurance + ...)</t>
  </si>
  <si>
    <t>Model C</t>
  </si>
  <si>
    <t>July25-Jul26</t>
  </si>
  <si>
    <t>Inbound</t>
  </si>
  <si>
    <t>Outbound</t>
  </si>
  <si>
    <t>Enterprise</t>
  </si>
  <si>
    <t xml:space="preserve">Salary </t>
  </si>
  <si>
    <t>Product name</t>
  </si>
  <si>
    <t>Customer lifetime</t>
  </si>
  <si>
    <t>FTE</t>
  </si>
  <si>
    <t>Number of sales</t>
  </si>
  <si>
    <t>CAC wo LT</t>
  </si>
  <si>
    <t>CAC with LT</t>
  </si>
  <si>
    <t>Private Cloud on VMware, Private Cloud on VMware vSAN</t>
  </si>
  <si>
    <t>Private Cloud on Azure Local</t>
  </si>
  <si>
    <t>Private Cloud on Openstack HCI</t>
  </si>
  <si>
    <t>Public Cloud on VMware</t>
  </si>
  <si>
    <t>Public Cloud on Openstack</t>
  </si>
  <si>
    <t>MS365 license</t>
  </si>
  <si>
    <t>Architect services 1. hr</t>
  </si>
  <si>
    <t>...</t>
  </si>
  <si>
    <t>Model A</t>
  </si>
  <si>
    <t>VMware team</t>
  </si>
  <si>
    <t>Opentack team</t>
  </si>
  <si>
    <t>Network team</t>
  </si>
  <si>
    <t>Capacity team</t>
  </si>
  <si>
    <t>Monitoring team</t>
  </si>
  <si>
    <t>Cordinator &amp; Operations</t>
  </si>
  <si>
    <t>L1</t>
  </si>
  <si>
    <t>L2</t>
  </si>
  <si>
    <t>Salary</t>
  </si>
  <si>
    <t>COGS wo LT</t>
  </si>
  <si>
    <t>COGS with LT</t>
  </si>
  <si>
    <t>Component name</t>
  </si>
  <si>
    <t xml:space="preserve">Node for Private Cloud on VMware (2 x 16 cores, 256 GB)  </t>
  </si>
  <si>
    <t>VMware nodes</t>
  </si>
  <si>
    <t>Node for Private Cloud on VMware (2 x 16 cores, 256 GB, 6x3,84 TB, H200/RTX6000 GPU-ready)</t>
  </si>
  <si>
    <t>Node for Private Cloud on VMware (2 x 16 cores, 256 GB, extensible)</t>
  </si>
  <si>
    <t>Node for Private Cloud on VMware (2 x 16 cores, 512 GB)</t>
  </si>
  <si>
    <t>Node for Private Cloud on VMware (2 x 18 cores, 256 GB)</t>
  </si>
  <si>
    <t>vCPU</t>
  </si>
  <si>
    <t>E-Cloud resources</t>
  </si>
  <si>
    <t>vRAM</t>
  </si>
  <si>
    <t>Fast SSD</t>
  </si>
  <si>
    <t>SSD</t>
  </si>
  <si>
    <t>HDD</t>
  </si>
  <si>
    <t>Model B</t>
  </si>
  <si>
    <t>Internal IT Department Salaries</t>
  </si>
  <si>
    <t>Operations Salaries</t>
  </si>
  <si>
    <t>HR Salaries</t>
  </si>
  <si>
    <t>Legal Department Salaries</t>
  </si>
  <si>
    <t>Finance Department Salaries</t>
  </si>
  <si>
    <t>Administrative and Facilities Department Salaries</t>
  </si>
  <si>
    <t>Payroll Taxes</t>
  </si>
  <si>
    <t>Professional Services Fees (Consultants, HR, etc.)</t>
  </si>
  <si>
    <t>Business Travel and Transportation Expenses</t>
  </si>
  <si>
    <t>Rent, Including Utilities</t>
  </si>
  <si>
    <t>Workplace Setup and Equipment</t>
  </si>
  <si>
    <t>Telephony and Internet</t>
  </si>
  <si>
    <t>Banking Fees</t>
  </si>
  <si>
    <t>Office Supplies</t>
  </si>
  <si>
    <t>Training and Seminars</t>
  </si>
  <si>
    <t>Insurance</t>
  </si>
  <si>
    <t>Software for Staff</t>
  </si>
  <si>
    <t>Events, Contingency, and Other Expenses</t>
  </si>
  <si>
    <t>All General expenses, monthly</t>
  </si>
  <si>
    <t>All General expenses, annually</t>
  </si>
  <si>
    <t>FY2026 Forecast - revenue</t>
  </si>
  <si>
    <t>FY2026 Forecast - margin</t>
  </si>
  <si>
    <t>% of magrin</t>
  </si>
  <si>
    <t>Allocated general cost, UAH/year</t>
  </si>
  <si>
    <t>General cost per year</t>
  </si>
  <si>
    <t>General cost per month</t>
  </si>
  <si>
    <t>FY2026 Forecast - margin - IaaS - Public</t>
  </si>
  <si>
    <t>FY2026 Forecast - margin - IaaS - Private</t>
  </si>
  <si>
    <t>FY2026 Forecast - margin - Resell</t>
  </si>
  <si>
    <t>FY2026 Forecast - margin - Profservice</t>
  </si>
  <si>
    <t>РАЗОМ</t>
  </si>
  <si>
    <t>АПРЕЛЬ 26</t>
  </si>
  <si>
    <t>МАЙ 26</t>
  </si>
  <si>
    <t>ИЮНЬ 26</t>
  </si>
  <si>
    <t>Attribution</t>
  </si>
  <si>
    <t>Model</t>
  </si>
  <si>
    <t>1   ДОХІД</t>
  </si>
  <si>
    <t>1.1   ProCloud</t>
  </si>
  <si>
    <t>1.2   Public</t>
  </si>
  <si>
    <t>1.3   інший дохід</t>
  </si>
  <si>
    <t>2   СОБІВАРТІСТЬ</t>
  </si>
  <si>
    <t>2.1   ЗП (собівартість)</t>
  </si>
  <si>
    <t>2.1.1   ЗП Відділ архітектурних рішень</t>
  </si>
  <si>
    <t>COGS</t>
  </si>
  <si>
    <t>B</t>
  </si>
  <si>
    <t>GENERAL</t>
  </si>
  <si>
    <t>or A as delivery</t>
  </si>
  <si>
    <t>2.1.2   ЗП Департамент розвитку продуктів</t>
  </si>
  <si>
    <t xml:space="preserve">Model </t>
  </si>
  <si>
    <t>Example</t>
  </si>
  <si>
    <t>A</t>
  </si>
  <si>
    <t>Direct FTE attribution to delivery and maintenance of a component</t>
  </si>
  <si>
    <t>2.1.3   ЗП Відділ Інформаційної Безпеки</t>
  </si>
  <si>
    <t>C</t>
  </si>
  <si>
    <t>General expenses (Can not be attributed to products / product groups etc / components)</t>
  </si>
  <si>
    <t>HR</t>
  </si>
  <si>
    <t>Expenses, can be attributed to specific products</t>
  </si>
  <si>
    <t>Sales</t>
  </si>
  <si>
    <t>2.1.4   ЗП Відділ білінгу</t>
  </si>
  <si>
    <t>D</t>
  </si>
  <si>
    <t>Expenses, can be attributed to groups of products</t>
  </si>
  <si>
    <t>VOK</t>
  </si>
  <si>
    <t>2.1.5   ЗП Департамент доставки ІТ послуг</t>
  </si>
  <si>
    <t>2.2   Податки на зп (собівартість)</t>
  </si>
  <si>
    <t>?</t>
  </si>
  <si>
    <t>2.3   Ко-локейшен (расход)</t>
  </si>
  <si>
    <t>2.4   Технічна підтримка обладнання</t>
  </si>
  <si>
    <t>2.5   Послуги передачі данних</t>
  </si>
  <si>
    <t>2.6   Оплата ліцензій на ПО роялті</t>
  </si>
  <si>
    <t>2.7   Накладні витрати (собівартість)</t>
  </si>
  <si>
    <t>2.8   Оплата ліцензій на ПО роялті (ресейлінг)</t>
  </si>
  <si>
    <t>2.9   Накладные расходы (себестоимость)</t>
  </si>
  <si>
    <t>3   ВАЛОВАЯ ПРИБЫЛЬ</t>
  </si>
  <si>
    <t>4   РЕНТАБЕЛЬНОСТЬ ПО ВАЛОВОЙ ПРИБЫЛИ</t>
  </si>
  <si>
    <t>5   КОСВЕННЫЕ РАСХОДЫ</t>
  </si>
  <si>
    <t>5.1   Маркетинг и продажи (Sales &amp; Marketing)</t>
  </si>
  <si>
    <t>5.1.1   ЗП</t>
  </si>
  <si>
    <t>5.1.1.1   ЗП sales Department</t>
  </si>
  <si>
    <t>CAC</t>
  </si>
  <si>
    <t>5.1.1.2   ЗП Департамент маркетингу</t>
  </si>
  <si>
    <t>5.1.1.3   ЗП ВОК</t>
  </si>
  <si>
    <t>5.1.1.4   ЗП Отдел пресейла</t>
  </si>
  <si>
    <t>5.1.1.5   ЗП Отдел Технической Поддержки</t>
  </si>
  <si>
    <t>5.1.2   зп  Sales &amp; Marketing</t>
  </si>
  <si>
    <t>5.1.3   Податки на зп (Sales &amp; Marketing)</t>
  </si>
  <si>
    <t>5.1.4   Маркетинг, реклама, прочие расходы на реализацию.</t>
  </si>
  <si>
    <t>5.1.4.1   Сайт</t>
  </si>
  <si>
    <t>5.1.4.2   Digital</t>
  </si>
  <si>
    <t>5.1.4.3   SMM</t>
  </si>
  <si>
    <t>5.1.4.4   YouTube</t>
  </si>
  <si>
    <t>5.1.4.5   Розміщення в ЗМІ</t>
  </si>
  <si>
    <t>5.1.4.6   Організація або участь у івентах</t>
  </si>
  <si>
    <t>5.1.4.7   Поліграфія та брендований мерч</t>
  </si>
  <si>
    <t>5.1.4.8   Подарунки клієнтам (важливі дати)</t>
  </si>
  <si>
    <t>5.1.4.9   Асоціації</t>
  </si>
  <si>
    <t>5.1.4.10   SEO</t>
  </si>
  <si>
    <t>5.1.4.11   Додаткові сервіси</t>
  </si>
  <si>
    <t>5.1.6   Накладные расходы (Sales &amp; Marketing)</t>
  </si>
  <si>
    <t>5.1.7   Выплата реселлерам и партнерам</t>
  </si>
  <si>
    <t>С</t>
  </si>
  <si>
    <t>5.2   Адміністративні витрати</t>
  </si>
  <si>
    <t>5.2.1   ЗП (адміністрація)</t>
  </si>
  <si>
    <t>5.2.1.1   ЗП Відділ внутрішнього ІТ</t>
  </si>
  <si>
    <t>5.2.1.2   ЗП Operations</t>
  </si>
  <si>
    <t>5.2.1.3   ЗП HR</t>
  </si>
  <si>
    <t>5.2.1.4   ЗП legal dep</t>
  </si>
  <si>
    <t>5.2.1.5   ЗП Фінансовий відділ</t>
  </si>
  <si>
    <t>5.2.1.6   ЗП Адміністравно-господарській відділ</t>
  </si>
  <si>
    <t>5.2.2   Налоги на зп</t>
  </si>
  <si>
    <t>5.2.3   Оплата послуг спеціалістів (консультантів, HR інші.д.)</t>
  </si>
  <si>
    <t>5.2.4   Відрядження і транспортні витрати</t>
  </si>
  <si>
    <t>5.2.5   Оренда, включаючи комунальні послуги</t>
  </si>
  <si>
    <t>5.2.7   Організація робочих місць</t>
  </si>
  <si>
    <t>5.2.8   Телефонія та інтернет</t>
  </si>
  <si>
    <t>5.2.9   Послуги банка</t>
  </si>
  <si>
    <t>5.2.10   Канцеляпські товари</t>
  </si>
  <si>
    <t>5.2.11   Навчання та семінари</t>
  </si>
  <si>
    <t>5.2.12   Страховка</t>
  </si>
  <si>
    <t>5.2.13   ПО для персоналу</t>
  </si>
  <si>
    <t>5.2.14   Активності, непередбачувані та інші витрати</t>
  </si>
  <si>
    <t>6   ОПЕРАЦІЙНИЙ ПРИБУТОК</t>
  </si>
  <si>
    <t>7   ІНШІ ДОХОДИ</t>
  </si>
  <si>
    <t>7.1   Прочие доходы</t>
  </si>
  <si>
    <t>7.2   Оптимизация</t>
  </si>
  <si>
    <t>7.3   Положительная курсовая разница (приход)</t>
  </si>
  <si>
    <t>7.4   Послуги банка (відсотки)</t>
  </si>
  <si>
    <t>8   ІНШІ ВИТРАТИ</t>
  </si>
  <si>
    <t>8.1   Отрицательная курсовая разница (расход)</t>
  </si>
  <si>
    <t>8.3   Оптимизация</t>
  </si>
  <si>
    <t>8.4   Інші витрати</t>
  </si>
  <si>
    <t>9   ПРИБЫЛЬ ДО УЧЕТА АМОРТИЗАЦИИ НАЛОГОВ (EBITDA)</t>
  </si>
  <si>
    <t>10   % ОТ ДОХОДОВ</t>
  </si>
  <si>
    <t>11   ОСНОВНИЙ ДОХІД</t>
  </si>
  <si>
    <t>11   ПРИБУТОК ДО ВІДРАХУНКУ АМОРТИЗАЦІІ ТА ПОДАТКІВ (EBITDA) КОРПРОДУКТУ</t>
  </si>
  <si>
    <t>12   % ОТ ДОХОДОВ КОРПРОДУКТ</t>
  </si>
  <si>
    <t>13   ПРОЦЕНТЫ К ВЫПЛАТЕ</t>
  </si>
  <si>
    <t>13.1   Проценты к выплате</t>
  </si>
  <si>
    <t>14   АМОРТИЗАЦІЯ</t>
  </si>
  <si>
    <t>14.1   Амортизація</t>
  </si>
  <si>
    <t>15   ЛІЗИНГОВІ ПЛАТЕЖІ</t>
  </si>
  <si>
    <t>15.1   Лізингові платежі</t>
  </si>
  <si>
    <t>16   ПРИБУТОК ДО ВИПЛАТИ ПОДАТКІВ (EBIT)</t>
  </si>
  <si>
    <t>17   ПОДАТОК НА ПРИБУТОК</t>
  </si>
  <si>
    <t>18   ЧИСТИЙ ПРИБУТОК</t>
  </si>
  <si>
    <t>19   % ЧИСТИЙ ПРИБУТОК</t>
  </si>
  <si>
    <t>CFO</t>
  </si>
  <si>
    <t>Отримати ЗП-відомості</t>
  </si>
  <si>
    <t>Надати реальні бюджети департаментів</t>
  </si>
  <si>
    <t>Погодити розподіл на типи і моделі по всім витратам</t>
  </si>
  <si>
    <t>Тімліди всіх відділів</t>
  </si>
  <si>
    <t>Провести реальне FTE-опитування команд</t>
  </si>
  <si>
    <t>Product/Sales</t>
  </si>
  <si>
    <t>Реальна кількість продажів по продуктах/каналах</t>
  </si>
  <si>
    <t>Реальний Customer lifetime по продуктах</t>
  </si>
  <si>
    <t>Отримати доступ/вивантаження з CRM і billing-системи</t>
  </si>
  <si>
    <t>Аналітики</t>
  </si>
  <si>
    <t>Побудувати регулярний звіт/дашборд, що витягує Number of sales, Customer lifetime, Revenue по продуктах з CRM+billing</t>
  </si>
  <si>
    <t>Автоматизувати оновлення FTE-розподілу</t>
  </si>
  <si>
    <t>CEO</t>
  </si>
  <si>
    <t xml:space="preserve">Sign-off на методологію </t>
  </si>
  <si>
    <t>Узгодити терміни збору реальних даних</t>
  </si>
  <si>
    <t>Погодити частоту оновлення моделі</t>
  </si>
  <si>
    <t>Product</t>
  </si>
  <si>
    <t>Підготувати фінальну версію моделі з актуальними даними</t>
  </si>
  <si>
    <t>Інтегрувати модель в CRM</t>
  </si>
  <si>
    <t>Все ціноутворення рахується по новій моделі</t>
  </si>
  <si>
    <t>Group of services</t>
  </si>
  <si>
    <t>Backup Storage</t>
  </si>
  <si>
    <t>DR</t>
  </si>
  <si>
    <t>E-Cloud</t>
  </si>
  <si>
    <t>Licences</t>
  </si>
  <si>
    <t>Services</t>
  </si>
  <si>
    <t>Backup Licences</t>
  </si>
  <si>
    <t>Private Cloud</t>
  </si>
  <si>
    <t>S-Cloud</t>
  </si>
  <si>
    <t>Total (</t>
  </si>
  <si>
    <t>Year</t>
  </si>
  <si>
    <t>Month</t>
  </si>
  <si>
    <t>сумарний платіж всіх клієнітв за місяць</t>
  </si>
  <si>
    <t>Січень</t>
  </si>
  <si>
    <t>Лютий</t>
  </si>
  <si>
    <t>Березень</t>
  </si>
  <si>
    <t>Квітень</t>
  </si>
  <si>
    <t>Травень</t>
  </si>
  <si>
    <t>Червень</t>
  </si>
  <si>
    <t>Revenue share</t>
  </si>
  <si>
    <t>%</t>
  </si>
  <si>
    <t>Gross magrin</t>
  </si>
  <si>
    <t>Gross profit share</t>
  </si>
  <si>
    <t>Кількість</t>
  </si>
  <si>
    <t>Chief Executive Officer:</t>
  </si>
  <si>
    <t xml:space="preserve">Chief Revenue Officer </t>
  </si>
  <si>
    <t>немає підлеглих</t>
  </si>
  <si>
    <t>Chief  Operaction Officer</t>
  </si>
  <si>
    <t>Head of Customer support:</t>
  </si>
  <si>
    <t>Technical Support team</t>
  </si>
  <si>
    <t>Customer service support team</t>
  </si>
  <si>
    <t>Head of proccess</t>
  </si>
  <si>
    <t>Process management&amp;analytics team</t>
  </si>
  <si>
    <t>Немає керівника</t>
  </si>
  <si>
    <t>CRM automatization team</t>
  </si>
  <si>
    <t>Chief BizDev Officer</t>
  </si>
  <si>
    <t xml:space="preserve">Administarative Lead </t>
  </si>
  <si>
    <t>Office managers</t>
  </si>
  <si>
    <t>Recruitment Lead</t>
  </si>
  <si>
    <t>Recruters</t>
  </si>
  <si>
    <t>HR lead</t>
  </si>
  <si>
    <t>HR team</t>
  </si>
  <si>
    <t>Head of marketing</t>
  </si>
  <si>
    <t>Marketing team</t>
  </si>
  <si>
    <t>Country manager</t>
  </si>
  <si>
    <t>Sales Enablement team</t>
  </si>
  <si>
    <t>Presales team</t>
  </si>
  <si>
    <t>Partner managers team</t>
  </si>
  <si>
    <t>Corporate sales team</t>
  </si>
  <si>
    <t>Growth sales team</t>
  </si>
  <si>
    <t>Enterprise sales team</t>
  </si>
  <si>
    <t>Tech Account managers team</t>
  </si>
  <si>
    <t>SDR team</t>
  </si>
  <si>
    <t>Chief Legal Officer</t>
  </si>
  <si>
    <t>Lawyers team</t>
  </si>
  <si>
    <t>Chief Technical Officer</t>
  </si>
  <si>
    <t>CDO</t>
  </si>
  <si>
    <t>Delivery team</t>
  </si>
  <si>
    <t>CISO</t>
  </si>
  <si>
    <t>Security team</t>
  </si>
  <si>
    <t>Head of RND</t>
  </si>
  <si>
    <t>RND team</t>
  </si>
  <si>
    <t>Head of IT</t>
  </si>
  <si>
    <t>IT team</t>
  </si>
  <si>
    <t>Chief Product Officer</t>
  </si>
  <si>
    <t>Product Team</t>
  </si>
  <si>
    <t>Chief Finance Officer</t>
  </si>
  <si>
    <t>Chief Accountant</t>
  </si>
  <si>
    <t>Accountant team</t>
  </si>
  <si>
    <t>Depufy CFO</t>
  </si>
  <si>
    <t>Немає підлеглих</t>
  </si>
  <si>
    <t>1. COGS
2. GENERAL</t>
  </si>
  <si>
    <t>1.B
2.B</t>
  </si>
  <si>
    <t>1.C
2.B</t>
  </si>
  <si>
    <t>Включено у COGS там де product family = IaaS add-on mode = base</t>
  </si>
  <si>
    <t>Включено у COGS там де ліцензії є частиною продукту IaaS</t>
  </si>
  <si>
    <t>Включено у COGS там де ліцензії є частиною продукту Resell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</si>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</sst>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UAH&quot;_-;\-* #,##0.00\ &quot;UAH&quot;_-;_-* &quot;-&quot;??\ &quot;UAH&quot;_-;_-@_-"/>
    <numFmt numFmtId="164" formatCode="#,##0.00\ &quot;UAH&quot;"/>
    <numFmt numFmtId="165" formatCode="0&quot; %&quot;"/>
    <numFmt numFmtId="166" formatCode="#,##0.00\ &quot;₴&quot;"/>
    <numFmt numFmtId="167" formatCode="_-[$$-409]* #,##0.00_ ;_-[$$-409]* \-#,##0.00\ ;_-[$$-409]* &quot;-&quot;??_ ;_-@_ "/>
    <numFmt numFmtId="168" formatCode="#,##0\ &quot;₴&quot;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444444"/>
      <name val="Aptos Narrow"/>
    </font>
    <font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212121"/>
      <name val="Aptos Narrow"/>
    </font>
    <font>
      <sz val="11"/>
      <color rgb="FF000000"/>
      <name val="Aptos Narrow"/>
    </font>
    <font>
      <b/>
      <sz val="11"/>
      <color rgb="FF212121"/>
      <name val="Aptos Narrow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rial"/>
      <family val="2"/>
    </font>
    <font>
      <b/>
      <sz val="12"/>
      <color theme="1"/>
      <name val="Aptos Narrow"/>
      <family val="2"/>
      <scheme val="minor"/>
    </font>
    <font>
      <sz val="8"/>
      <name val="Arial"/>
    </font>
    <font>
      <b/>
      <sz val="16"/>
      <color theme="1"/>
      <name val="Aptos Narrow"/>
      <family val="2"/>
      <scheme val="minor"/>
    </font>
    <font>
      <sz val="12"/>
      <color rgb="FF000000"/>
      <name val="Aptos Narrow"/>
      <charset val="1"/>
    </font>
    <font>
      <sz val="12"/>
      <color rgb="FF000000"/>
      <name val="Aptos Narrow"/>
      <scheme val="minor"/>
    </font>
    <font>
      <sz val="18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FFF0"/>
        <bgColor auto="1"/>
      </patternFill>
    </fill>
    <fill>
      <patternFill patternType="solid">
        <fgColor rgb="FFFFEEF0"/>
        <bgColor auto="1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EC5DE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2CEE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medium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medium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44" fontId="6" fillId="0" borderId="1" xfId="1" applyFont="1" applyBorder="1"/>
    <xf numFmtId="44" fontId="8" fillId="0" borderId="1" xfId="1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3" borderId="1" xfId="0" applyFont="1" applyFill="1" applyBorder="1"/>
    <xf numFmtId="44" fontId="0" fillId="3" borderId="1" xfId="0" applyNumberFormat="1" applyFill="1" applyBorder="1"/>
    <xf numFmtId="164" fontId="0" fillId="3" borderId="1" xfId="0" applyNumberFormat="1" applyFill="1" applyBorder="1"/>
    <xf numFmtId="44" fontId="4" fillId="3" borderId="1" xfId="0" applyNumberFormat="1" applyFont="1" applyFill="1" applyBorder="1"/>
    <xf numFmtId="0" fontId="0" fillId="2" borderId="1" xfId="0" applyFill="1" applyBorder="1" applyAlignment="1">
      <alignment wrapText="1"/>
    </xf>
    <xf numFmtId="0" fontId="0" fillId="4" borderId="1" xfId="0" applyFill="1" applyBorder="1"/>
    <xf numFmtId="44" fontId="0" fillId="4" borderId="1" xfId="0" applyNumberFormat="1" applyFill="1" applyBorder="1"/>
    <xf numFmtId="0" fontId="10" fillId="3" borderId="1" xfId="0" applyFont="1" applyFill="1" applyBorder="1" applyAlignment="1">
      <alignment wrapText="1"/>
    </xf>
    <xf numFmtId="0" fontId="0" fillId="5" borderId="1" xfId="0" applyFill="1" applyBorder="1"/>
    <xf numFmtId="0" fontId="0" fillId="0" borderId="5" xfId="0" applyBorder="1"/>
    <xf numFmtId="10" fontId="0" fillId="0" borderId="1" xfId="2" applyNumberFormat="1" applyFont="1" applyBorder="1"/>
    <xf numFmtId="10" fontId="0" fillId="0" borderId="1" xfId="0" applyNumberFormat="1" applyBorder="1"/>
    <xf numFmtId="10" fontId="0" fillId="2" borderId="1" xfId="0" applyNumberFormat="1" applyFill="1" applyBorder="1" applyAlignment="1">
      <alignment horizontal="right"/>
    </xf>
    <xf numFmtId="44" fontId="0" fillId="0" borderId="0" xfId="0" applyNumberFormat="1"/>
    <xf numFmtId="0" fontId="0" fillId="0" borderId="0" xfId="0" applyAlignment="1">
      <alignment horizontal="left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4" fontId="11" fillId="0" borderId="18" xfId="0" applyNumberFormat="1" applyFont="1" applyBorder="1" applyAlignment="1">
      <alignment horizontal="right" vertical="center"/>
    </xf>
    <xf numFmtId="4" fontId="11" fillId="0" borderId="19" xfId="0" applyNumberFormat="1" applyFont="1" applyBorder="1" applyAlignment="1">
      <alignment horizontal="right" vertical="center"/>
    </xf>
    <xf numFmtId="0" fontId="11" fillId="6" borderId="16" xfId="0" applyFont="1" applyFill="1" applyBorder="1" applyAlignment="1">
      <alignment horizontal="left" vertical="center" indent="1"/>
    </xf>
    <xf numFmtId="0" fontId="11" fillId="6" borderId="17" xfId="0" applyFont="1" applyFill="1" applyBorder="1" applyAlignment="1">
      <alignment horizontal="left" vertical="center" indent="1"/>
    </xf>
    <xf numFmtId="4" fontId="11" fillId="6" borderId="18" xfId="0" applyNumberFormat="1" applyFont="1" applyFill="1" applyBorder="1" applyAlignment="1">
      <alignment horizontal="right" vertical="center"/>
    </xf>
    <xf numFmtId="4" fontId="11" fillId="6" borderId="19" xfId="0" applyNumberFormat="1" applyFont="1" applyFill="1" applyBorder="1" applyAlignment="1">
      <alignment horizontal="right" vertical="center"/>
    </xf>
    <xf numFmtId="0" fontId="11" fillId="0" borderId="16" xfId="0" applyFont="1" applyBorder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7" borderId="16" xfId="0" applyFont="1" applyFill="1" applyBorder="1" applyAlignment="1">
      <alignment horizontal="left" vertical="center" indent="2"/>
    </xf>
    <xf numFmtId="0" fontId="11" fillId="7" borderId="17" xfId="0" applyFont="1" applyFill="1" applyBorder="1" applyAlignment="1">
      <alignment horizontal="left" vertical="center" indent="2"/>
    </xf>
    <xf numFmtId="4" fontId="11" fillId="7" borderId="18" xfId="0" applyNumberFormat="1" applyFont="1" applyFill="1" applyBorder="1" applyAlignment="1">
      <alignment horizontal="right" vertical="center"/>
    </xf>
    <xf numFmtId="4" fontId="11" fillId="7" borderId="19" xfId="0" applyNumberFormat="1" applyFont="1" applyFill="1" applyBorder="1" applyAlignment="1">
      <alignment horizontal="right" vertical="center"/>
    </xf>
    <xf numFmtId="0" fontId="11" fillId="7" borderId="16" xfId="0" applyFont="1" applyFill="1" applyBorder="1" applyAlignment="1">
      <alignment horizontal="left" vertical="center" indent="1"/>
    </xf>
    <xf numFmtId="0" fontId="11" fillId="7" borderId="17" xfId="0" applyFont="1" applyFill="1" applyBorder="1" applyAlignment="1">
      <alignment horizontal="left" vertical="center" indent="1"/>
    </xf>
    <xf numFmtId="0" fontId="11" fillId="6" borderId="18" xfId="0" applyFont="1" applyFill="1" applyBorder="1" applyAlignment="1">
      <alignment horizontal="right" vertical="center"/>
    </xf>
    <xf numFmtId="0" fontId="11" fillId="6" borderId="19" xfId="0" applyFont="1" applyFill="1" applyBorder="1" applyAlignment="1">
      <alignment horizontal="right" vertical="center"/>
    </xf>
    <xf numFmtId="165" fontId="11" fillId="0" borderId="18" xfId="0" applyNumberFormat="1" applyFont="1" applyBorder="1" applyAlignment="1">
      <alignment horizontal="right" vertical="center"/>
    </xf>
    <xf numFmtId="165" fontId="11" fillId="0" borderId="19" xfId="0" applyNumberFormat="1" applyFont="1" applyBorder="1" applyAlignment="1">
      <alignment horizontal="right" vertical="center"/>
    </xf>
    <xf numFmtId="0" fontId="11" fillId="0" borderId="16" xfId="0" applyFont="1" applyBorder="1" applyAlignment="1">
      <alignment horizontal="left" vertical="center" indent="2"/>
    </xf>
    <xf numFmtId="0" fontId="11" fillId="0" borderId="17" xfId="0" applyFont="1" applyBorder="1" applyAlignment="1">
      <alignment horizontal="left" vertical="center" indent="2"/>
    </xf>
    <xf numFmtId="0" fontId="11" fillId="7" borderId="16" xfId="0" applyFont="1" applyFill="1" applyBorder="1" applyAlignment="1">
      <alignment horizontal="left" vertical="center" indent="3"/>
    </xf>
    <xf numFmtId="0" fontId="11" fillId="7" borderId="17" xfId="0" applyFont="1" applyFill="1" applyBorder="1" applyAlignment="1">
      <alignment horizontal="left" vertical="center" indent="3"/>
    </xf>
    <xf numFmtId="0" fontId="11" fillId="6" borderId="16" xfId="0" applyFont="1" applyFill="1" applyBorder="1" applyAlignment="1">
      <alignment horizontal="left" vertical="center" indent="2"/>
    </xf>
    <xf numFmtId="0" fontId="11" fillId="6" borderId="17" xfId="0" applyFont="1" applyFill="1" applyBorder="1" applyAlignment="1">
      <alignment horizontal="left" vertical="center" indent="2"/>
    </xf>
    <xf numFmtId="0" fontId="11" fillId="7" borderId="18" xfId="0" applyFont="1" applyFill="1" applyBorder="1" applyAlignment="1">
      <alignment horizontal="right" vertical="center"/>
    </xf>
    <xf numFmtId="0" fontId="11" fillId="7" borderId="19" xfId="0" applyFont="1" applyFill="1" applyBorder="1" applyAlignment="1">
      <alignment horizontal="right" vertical="center"/>
    </xf>
    <xf numFmtId="2" fontId="11" fillId="7" borderId="18" xfId="0" applyNumberFormat="1" applyFont="1" applyFill="1" applyBorder="1" applyAlignment="1">
      <alignment horizontal="right" vertical="center"/>
    </xf>
    <xf numFmtId="2" fontId="11" fillId="7" borderId="19" xfId="0" applyNumberFormat="1" applyFont="1" applyFill="1" applyBorder="1" applyAlignment="1">
      <alignment horizontal="right" vertical="center"/>
    </xf>
    <xf numFmtId="0" fontId="11" fillId="0" borderId="18" xfId="0" applyFont="1" applyBorder="1" applyAlignment="1">
      <alignment horizontal="right" vertical="center"/>
    </xf>
    <xf numFmtId="0" fontId="11" fillId="0" borderId="19" xfId="0" applyFont="1" applyBorder="1" applyAlignment="1">
      <alignment horizontal="right" vertical="center"/>
    </xf>
    <xf numFmtId="0" fontId="11" fillId="0" borderId="6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0" fillId="8" borderId="1" xfId="0" applyFill="1" applyBorder="1"/>
    <xf numFmtId="0" fontId="6" fillId="8" borderId="1" xfId="0" applyFont="1" applyFill="1" applyBorder="1"/>
    <xf numFmtId="9" fontId="0" fillId="8" borderId="1" xfId="0" applyNumberFormat="1" applyFill="1" applyBorder="1"/>
    <xf numFmtId="0" fontId="12" fillId="0" borderId="0" xfId="0" applyFont="1"/>
    <xf numFmtId="0" fontId="0" fillId="0" borderId="0" xfId="0" applyAlignment="1">
      <alignment horizontal="center"/>
    </xf>
    <xf numFmtId="0" fontId="0" fillId="0" borderId="20" xfId="0" applyBorder="1"/>
    <xf numFmtId="4" fontId="11" fillId="0" borderId="0" xfId="0" applyNumberFormat="1" applyFont="1" applyAlignment="1">
      <alignment horizontal="right" vertical="center"/>
    </xf>
    <xf numFmtId="4" fontId="11" fillId="6" borderId="0" xfId="0" applyNumberFormat="1" applyFont="1" applyFill="1" applyAlignment="1">
      <alignment horizontal="right" vertical="center"/>
    </xf>
    <xf numFmtId="4" fontId="11" fillId="7" borderId="0" xfId="0" applyNumberFormat="1" applyFont="1" applyFill="1" applyAlignment="1">
      <alignment horizontal="right" vertical="center"/>
    </xf>
    <xf numFmtId="0" fontId="11" fillId="6" borderId="0" xfId="0" applyFont="1" applyFill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2" fontId="11" fillId="7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4" fontId="11" fillId="7" borderId="0" xfId="0" applyNumberFormat="1" applyFont="1" applyFill="1" applyAlignment="1">
      <alignment horizontal="right" vertical="center" wrapText="1"/>
    </xf>
    <xf numFmtId="4" fontId="13" fillId="7" borderId="0" xfId="0" applyNumberFormat="1" applyFont="1" applyFill="1" applyAlignment="1">
      <alignment horizontal="right" vertical="center" wrapText="1"/>
    </xf>
    <xf numFmtId="0" fontId="0" fillId="9" borderId="20" xfId="0" applyFill="1" applyBorder="1"/>
    <xf numFmtId="0" fontId="12" fillId="9" borderId="20" xfId="0" applyFont="1" applyFill="1" applyBorder="1"/>
    <xf numFmtId="167" fontId="0" fillId="9" borderId="20" xfId="0" applyNumberFormat="1" applyFill="1" applyBorder="1"/>
    <xf numFmtId="167" fontId="12" fillId="9" borderId="20" xfId="0" applyNumberFormat="1" applyFont="1" applyFill="1" applyBorder="1"/>
    <xf numFmtId="2" fontId="0" fillId="9" borderId="20" xfId="0" applyNumberFormat="1" applyFill="1" applyBorder="1"/>
    <xf numFmtId="0" fontId="12" fillId="10" borderId="20" xfId="0" applyFont="1" applyFill="1" applyBorder="1"/>
    <xf numFmtId="167" fontId="12" fillId="10" borderId="20" xfId="0" applyNumberFormat="1" applyFont="1" applyFill="1" applyBorder="1"/>
    <xf numFmtId="2" fontId="0" fillId="10" borderId="20" xfId="0" applyNumberFormat="1" applyFill="1" applyBorder="1"/>
    <xf numFmtId="0" fontId="0" fillId="10" borderId="20" xfId="0" applyFill="1" applyBorder="1"/>
    <xf numFmtId="0" fontId="12" fillId="11" borderId="20" xfId="0" applyFont="1" applyFill="1" applyBorder="1"/>
    <xf numFmtId="167" fontId="12" fillId="11" borderId="20" xfId="0" applyNumberFormat="1" applyFont="1" applyFill="1" applyBorder="1"/>
    <xf numFmtId="2" fontId="0" fillId="11" borderId="20" xfId="0" applyNumberFormat="1" applyFill="1" applyBorder="1"/>
    <xf numFmtId="0" fontId="0" fillId="11" borderId="20" xfId="0" applyFill="1" applyBorder="1"/>
    <xf numFmtId="0" fontId="0" fillId="12" borderId="20" xfId="0" applyFill="1" applyBorder="1"/>
    <xf numFmtId="167" fontId="0" fillId="12" borderId="20" xfId="0" applyNumberFormat="1" applyFill="1" applyBorder="1"/>
    <xf numFmtId="0" fontId="0" fillId="13" borderId="20" xfId="0" applyFill="1" applyBorder="1"/>
    <xf numFmtId="0" fontId="15" fillId="0" borderId="0" xfId="0" applyFont="1"/>
    <xf numFmtId="0" fontId="0" fillId="14" borderId="20" xfId="0" applyFill="1" applyBorder="1"/>
    <xf numFmtId="0" fontId="15" fillId="14" borderId="20" xfId="0" applyFont="1" applyFill="1" applyBorder="1"/>
    <xf numFmtId="0" fontId="0" fillId="15" borderId="20" xfId="0" applyFill="1" applyBorder="1"/>
    <xf numFmtId="0" fontId="0" fillId="13" borderId="21" xfId="0" applyFill="1" applyBorder="1"/>
    <xf numFmtId="2" fontId="0" fillId="9" borderId="21" xfId="0" applyNumberFormat="1" applyFill="1" applyBorder="1"/>
    <xf numFmtId="0" fontId="0" fillId="9" borderId="21" xfId="0" applyFill="1" applyBorder="1"/>
    <xf numFmtId="2" fontId="0" fillId="10" borderId="21" xfId="0" applyNumberFormat="1" applyFill="1" applyBorder="1"/>
    <xf numFmtId="0" fontId="0" fillId="10" borderId="21" xfId="0" applyFill="1" applyBorder="1"/>
    <xf numFmtId="2" fontId="0" fillId="11" borderId="21" xfId="0" applyNumberFormat="1" applyFill="1" applyBorder="1"/>
    <xf numFmtId="0" fontId="0" fillId="11" borderId="21" xfId="0" applyFill="1" applyBorder="1"/>
    <xf numFmtId="167" fontId="0" fillId="12" borderId="21" xfId="0" applyNumberFormat="1" applyFill="1" applyBorder="1"/>
    <xf numFmtId="0" fontId="0" fillId="16" borderId="20" xfId="0" applyFill="1" applyBorder="1" applyAlignment="1">
      <alignment horizontal="center"/>
    </xf>
    <xf numFmtId="0" fontId="0" fillId="17" borderId="20" xfId="0" applyFill="1" applyBorder="1"/>
    <xf numFmtId="166" fontId="0" fillId="12" borderId="20" xfId="0" applyNumberFormat="1" applyFill="1" applyBorder="1"/>
    <xf numFmtId="9" fontId="0" fillId="17" borderId="20" xfId="0" applyNumberFormat="1" applyFill="1" applyBorder="1"/>
    <xf numFmtId="166" fontId="0" fillId="17" borderId="20" xfId="0" applyNumberFormat="1" applyFill="1" applyBorder="1"/>
    <xf numFmtId="167" fontId="0" fillId="9" borderId="20" xfId="0" applyNumberFormat="1" applyFill="1" applyBorder="1" applyAlignment="1">
      <alignment horizontal="center"/>
    </xf>
    <xf numFmtId="167" fontId="0" fillId="10" borderId="20" xfId="0" applyNumberFormat="1" applyFill="1" applyBorder="1" applyAlignment="1">
      <alignment horizontal="center"/>
    </xf>
    <xf numFmtId="0" fontId="0" fillId="19" borderId="20" xfId="0" applyFill="1" applyBorder="1"/>
    <xf numFmtId="0" fontId="0" fillId="18" borderId="20" xfId="0" applyFill="1" applyBorder="1"/>
    <xf numFmtId="0" fontId="15" fillId="9" borderId="23" xfId="0" applyFont="1" applyFill="1" applyBorder="1"/>
    <xf numFmtId="0" fontId="15" fillId="10" borderId="23" xfId="0" applyFont="1" applyFill="1" applyBorder="1"/>
    <xf numFmtId="0" fontId="15" fillId="10" borderId="28" xfId="0" applyFont="1" applyFill="1" applyBorder="1"/>
    <xf numFmtId="0" fontId="15" fillId="13" borderId="23" xfId="0" applyFont="1" applyFill="1" applyBorder="1"/>
    <xf numFmtId="0" fontId="0" fillId="15" borderId="23" xfId="0" applyFill="1" applyBorder="1"/>
    <xf numFmtId="166" fontId="0" fillId="13" borderId="20" xfId="0" applyNumberFormat="1" applyFill="1" applyBorder="1"/>
    <xf numFmtId="168" fontId="0" fillId="12" borderId="20" xfId="0" applyNumberFormat="1" applyFill="1" applyBorder="1"/>
    <xf numFmtId="168" fontId="0" fillId="17" borderId="20" xfId="0" applyNumberFormat="1" applyFill="1" applyBorder="1"/>
    <xf numFmtId="0" fontId="0" fillId="15" borderId="21" xfId="0" applyFill="1" applyBorder="1"/>
    <xf numFmtId="0" fontId="0" fillId="17" borderId="20" xfId="0" applyFill="1" applyBorder="1" applyAlignment="1">
      <alignment wrapText="1"/>
    </xf>
    <xf numFmtId="0" fontId="0" fillId="0" borderId="20" xfId="0" applyFont="1" applyBorder="1"/>
    <xf numFmtId="0" fontId="17" fillId="0" borderId="20" xfId="0" applyFont="1" applyBorder="1"/>
    <xf numFmtId="0" fontId="16" fillId="0" borderId="20" xfId="0" applyFont="1" applyBorder="1"/>
    <xf numFmtId="0" fontId="0" fillId="0" borderId="21" xfId="0" applyFont="1" applyBorder="1"/>
    <xf numFmtId="0" fontId="13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textRotation="45"/>
    </xf>
    <xf numFmtId="0" fontId="10" fillId="3" borderId="2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 vertical="top"/>
    </xf>
    <xf numFmtId="10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0" fillId="18" borderId="20" xfId="0" applyFill="1" applyBorder="1" applyAlignment="1">
      <alignment horizontal="center"/>
    </xf>
    <xf numFmtId="0" fontId="14" fillId="13" borderId="20" xfId="0" applyFont="1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28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167" fontId="0" fillId="15" borderId="20" xfId="0" applyNumberFormat="1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14" fillId="16" borderId="20" xfId="0" applyFont="1" applyFill="1" applyBorder="1" applyAlignment="1">
      <alignment horizontal="center"/>
    </xf>
    <xf numFmtId="0" fontId="0" fillId="14" borderId="20" xfId="0" applyFill="1" applyBorder="1" applyAlignment="1">
      <alignment horizontal="center" wrapText="1"/>
    </xf>
    <xf numFmtId="0" fontId="0" fillId="13" borderId="3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49EDD"/>
      <color rgb="FFDEC5DE"/>
      <color rgb="FFF2CEEF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123825</xdr:rowOff>
    </xdr:from>
    <xdr:to>
      <xdr:col>0</xdr:col>
      <xdr:colOff>9525</xdr:colOff>
      <xdr:row>3</xdr:row>
      <xdr:rowOff>123825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24500DEB-55E3-A141-BF14-2BB71EAF032A}"/>
            </a:ext>
          </a:extLst>
        </xdr:cNvPr>
        <xdr:cNvSpPr/>
      </xdr:nvSpPr>
      <xdr:spPr>
        <a:xfrm>
          <a:off x="9525" y="4540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>
    <xdr:from>
      <xdr:col>0</xdr:col>
      <xdr:colOff>9525</xdr:colOff>
      <xdr:row>4</xdr:row>
      <xdr:rowOff>19050</xdr:rowOff>
    </xdr:from>
    <xdr:to>
      <xdr:col>0</xdr:col>
      <xdr:colOff>161925</xdr:colOff>
      <xdr:row>4</xdr:row>
      <xdr:rowOff>171450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CD12F1B5-A7B9-6F4E-AD3B-21AF3649C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488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</xdr:row>
      <xdr:rowOff>19050</xdr:rowOff>
    </xdr:from>
    <xdr:to>
      <xdr:col>0</xdr:col>
      <xdr:colOff>161925</xdr:colOff>
      <xdr:row>5</xdr:row>
      <xdr:rowOff>171450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7B2B1CE-5AFE-A44A-B9ED-F3DB96D2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704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</xdr:row>
      <xdr:rowOff>19050</xdr:rowOff>
    </xdr:from>
    <xdr:to>
      <xdr:col>0</xdr:col>
      <xdr:colOff>161925</xdr:colOff>
      <xdr:row>6</xdr:row>
      <xdr:rowOff>171450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DB055A30-49BA-274B-8649-F16BD1DE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920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</xdr:row>
      <xdr:rowOff>19050</xdr:rowOff>
    </xdr:from>
    <xdr:to>
      <xdr:col>0</xdr:col>
      <xdr:colOff>161925</xdr:colOff>
      <xdr:row>7</xdr:row>
      <xdr:rowOff>171450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E0CE4430-6FC9-D84C-AB1D-93C5C0E4C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1136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</xdr:row>
      <xdr:rowOff>19050</xdr:rowOff>
    </xdr:from>
    <xdr:to>
      <xdr:col>0</xdr:col>
      <xdr:colOff>161925</xdr:colOff>
      <xdr:row>8</xdr:row>
      <xdr:rowOff>171450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FD32AD3-7AAB-B64C-B6D9-E3C194A7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352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9</xdr:row>
      <xdr:rowOff>19050</xdr:rowOff>
    </xdr:from>
    <xdr:to>
      <xdr:col>0</xdr:col>
      <xdr:colOff>161925</xdr:colOff>
      <xdr:row>9</xdr:row>
      <xdr:rowOff>171450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78890131-244D-EF4C-88AC-A41CC3205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568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10</xdr:row>
      <xdr:rowOff>19050</xdr:rowOff>
    </xdr:from>
    <xdr:to>
      <xdr:col>0</xdr:col>
      <xdr:colOff>161925</xdr:colOff>
      <xdr:row>10</xdr:row>
      <xdr:rowOff>171450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85959494-3233-114B-95F9-441D7B8F7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784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11</xdr:row>
      <xdr:rowOff>19050</xdr:rowOff>
    </xdr:from>
    <xdr:to>
      <xdr:col>0</xdr:col>
      <xdr:colOff>161925</xdr:colOff>
      <xdr:row>11</xdr:row>
      <xdr:rowOff>171450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978CC888-2C62-674F-BDD0-D533DE1F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2000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12</xdr:row>
      <xdr:rowOff>19050</xdr:rowOff>
    </xdr:from>
    <xdr:to>
      <xdr:col>0</xdr:col>
      <xdr:colOff>161925</xdr:colOff>
      <xdr:row>12</xdr:row>
      <xdr:rowOff>171450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807C2A60-BB59-4F43-BAE3-7C2FADBD1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2216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13</xdr:row>
      <xdr:rowOff>19050</xdr:rowOff>
    </xdr:from>
    <xdr:to>
      <xdr:col>0</xdr:col>
      <xdr:colOff>161925</xdr:colOff>
      <xdr:row>13</xdr:row>
      <xdr:rowOff>171450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BC9D7BC8-8114-4E4A-82C2-B597C2621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2432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14</xdr:row>
      <xdr:rowOff>19050</xdr:rowOff>
    </xdr:from>
    <xdr:to>
      <xdr:col>0</xdr:col>
      <xdr:colOff>161925</xdr:colOff>
      <xdr:row>14</xdr:row>
      <xdr:rowOff>171450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AA23FE0-3AEF-BD41-A6D2-84DA34E2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2647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15</xdr:row>
      <xdr:rowOff>19050</xdr:rowOff>
    </xdr:from>
    <xdr:to>
      <xdr:col>0</xdr:col>
      <xdr:colOff>161925</xdr:colOff>
      <xdr:row>15</xdr:row>
      <xdr:rowOff>171450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DA3AE0F-9997-034D-8467-FDCCDD4C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2863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16</xdr:row>
      <xdr:rowOff>19050</xdr:rowOff>
    </xdr:from>
    <xdr:to>
      <xdr:col>0</xdr:col>
      <xdr:colOff>161925</xdr:colOff>
      <xdr:row>16</xdr:row>
      <xdr:rowOff>171450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7C0BBA1D-9BA3-914F-926F-EDC50FE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3079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161925</xdr:colOff>
      <xdr:row>17</xdr:row>
      <xdr:rowOff>171450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9CA058FE-1D27-3D49-B5F5-C60EA3F08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3295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18</xdr:row>
      <xdr:rowOff>19050</xdr:rowOff>
    </xdr:from>
    <xdr:to>
      <xdr:col>0</xdr:col>
      <xdr:colOff>161925</xdr:colOff>
      <xdr:row>18</xdr:row>
      <xdr:rowOff>171450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6F5533E5-C2D4-7542-A92C-C341549F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3511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19</xdr:row>
      <xdr:rowOff>19050</xdr:rowOff>
    </xdr:from>
    <xdr:to>
      <xdr:col>0</xdr:col>
      <xdr:colOff>161925</xdr:colOff>
      <xdr:row>19</xdr:row>
      <xdr:rowOff>171450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AA36237E-6D92-B84D-AE5B-08FEB46B7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3727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20</xdr:row>
      <xdr:rowOff>19050</xdr:rowOff>
    </xdr:from>
    <xdr:to>
      <xdr:col>0</xdr:col>
      <xdr:colOff>161925</xdr:colOff>
      <xdr:row>20</xdr:row>
      <xdr:rowOff>171450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5B4E39CC-DBE0-BD42-A200-F432B518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3943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21</xdr:row>
      <xdr:rowOff>19050</xdr:rowOff>
    </xdr:from>
    <xdr:to>
      <xdr:col>0</xdr:col>
      <xdr:colOff>161925</xdr:colOff>
      <xdr:row>21</xdr:row>
      <xdr:rowOff>171450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4F5174C7-8D1A-D84C-AD15-BDAE84DC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4159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22</xdr:row>
      <xdr:rowOff>19050</xdr:rowOff>
    </xdr:from>
    <xdr:to>
      <xdr:col>0</xdr:col>
      <xdr:colOff>161925</xdr:colOff>
      <xdr:row>22</xdr:row>
      <xdr:rowOff>171450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5BEADC64-AB4F-804B-B6EB-2CC79198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4375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23</xdr:row>
      <xdr:rowOff>19050</xdr:rowOff>
    </xdr:from>
    <xdr:to>
      <xdr:col>0</xdr:col>
      <xdr:colOff>161925</xdr:colOff>
      <xdr:row>23</xdr:row>
      <xdr:rowOff>171450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F74DF881-B016-CD41-9494-A3AD7833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4591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24</xdr:row>
      <xdr:rowOff>19050</xdr:rowOff>
    </xdr:from>
    <xdr:to>
      <xdr:col>0</xdr:col>
      <xdr:colOff>161925</xdr:colOff>
      <xdr:row>24</xdr:row>
      <xdr:rowOff>171450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5CF63C5E-1A7C-A64E-AE16-82621B92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4806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25</xdr:row>
      <xdr:rowOff>19050</xdr:rowOff>
    </xdr:from>
    <xdr:to>
      <xdr:col>0</xdr:col>
      <xdr:colOff>161925</xdr:colOff>
      <xdr:row>25</xdr:row>
      <xdr:rowOff>171450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5FF687F-BB1C-E74D-9075-3C05B2C3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5022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26</xdr:row>
      <xdr:rowOff>19050</xdr:rowOff>
    </xdr:from>
    <xdr:to>
      <xdr:col>0</xdr:col>
      <xdr:colOff>161925</xdr:colOff>
      <xdr:row>26</xdr:row>
      <xdr:rowOff>171450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664E78A0-461C-DC41-92D6-3965488E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5238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27</xdr:row>
      <xdr:rowOff>19050</xdr:rowOff>
    </xdr:from>
    <xdr:to>
      <xdr:col>0</xdr:col>
      <xdr:colOff>161925</xdr:colOff>
      <xdr:row>27</xdr:row>
      <xdr:rowOff>171450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90DB6069-3668-FA4C-BA49-1159A1CB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5454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28</xdr:row>
      <xdr:rowOff>19050</xdr:rowOff>
    </xdr:from>
    <xdr:to>
      <xdr:col>0</xdr:col>
      <xdr:colOff>161925</xdr:colOff>
      <xdr:row>28</xdr:row>
      <xdr:rowOff>171450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6EE2213D-83B8-F346-AE17-D2641B33D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5670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29</xdr:row>
      <xdr:rowOff>19050</xdr:rowOff>
    </xdr:from>
    <xdr:to>
      <xdr:col>0</xdr:col>
      <xdr:colOff>161925</xdr:colOff>
      <xdr:row>29</xdr:row>
      <xdr:rowOff>171450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919A0CEC-50CD-564D-95E6-5296544F0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5886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30</xdr:row>
      <xdr:rowOff>19050</xdr:rowOff>
    </xdr:from>
    <xdr:to>
      <xdr:col>0</xdr:col>
      <xdr:colOff>161925</xdr:colOff>
      <xdr:row>30</xdr:row>
      <xdr:rowOff>171450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B0CBB276-8E13-E640-964D-420C94E6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6102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31</xdr:row>
      <xdr:rowOff>19050</xdr:rowOff>
    </xdr:from>
    <xdr:to>
      <xdr:col>0</xdr:col>
      <xdr:colOff>161925</xdr:colOff>
      <xdr:row>31</xdr:row>
      <xdr:rowOff>171450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983F00DC-E3DD-5C47-9484-BC92D0D5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6318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32</xdr:row>
      <xdr:rowOff>19050</xdr:rowOff>
    </xdr:from>
    <xdr:to>
      <xdr:col>0</xdr:col>
      <xdr:colOff>161925</xdr:colOff>
      <xdr:row>32</xdr:row>
      <xdr:rowOff>171450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F688BA70-DA1A-7743-9CFB-C064E65B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6534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33</xdr:row>
      <xdr:rowOff>19050</xdr:rowOff>
    </xdr:from>
    <xdr:to>
      <xdr:col>0</xdr:col>
      <xdr:colOff>161925</xdr:colOff>
      <xdr:row>33</xdr:row>
      <xdr:rowOff>171450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9BED6F6B-6599-5043-9E27-D2A48C07E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6750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34</xdr:row>
      <xdr:rowOff>19050</xdr:rowOff>
    </xdr:from>
    <xdr:to>
      <xdr:col>0</xdr:col>
      <xdr:colOff>161925</xdr:colOff>
      <xdr:row>34</xdr:row>
      <xdr:rowOff>171450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9FBA7527-FF31-554F-A931-FE6F28D67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6965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35</xdr:row>
      <xdr:rowOff>19050</xdr:rowOff>
    </xdr:from>
    <xdr:to>
      <xdr:col>0</xdr:col>
      <xdr:colOff>161925</xdr:colOff>
      <xdr:row>35</xdr:row>
      <xdr:rowOff>171450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8AC3C385-69CE-D247-BF2C-E2BE2814E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7181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36</xdr:row>
      <xdr:rowOff>19050</xdr:rowOff>
    </xdr:from>
    <xdr:to>
      <xdr:col>0</xdr:col>
      <xdr:colOff>161925</xdr:colOff>
      <xdr:row>36</xdr:row>
      <xdr:rowOff>171450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47CB702F-60FB-CC4E-A048-185EE219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7397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37</xdr:row>
      <xdr:rowOff>19050</xdr:rowOff>
    </xdr:from>
    <xdr:to>
      <xdr:col>0</xdr:col>
      <xdr:colOff>161925</xdr:colOff>
      <xdr:row>37</xdr:row>
      <xdr:rowOff>171450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21B39C28-7CFF-8F46-B222-B5F05E536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7613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38</xdr:row>
      <xdr:rowOff>19050</xdr:rowOff>
    </xdr:from>
    <xdr:to>
      <xdr:col>0</xdr:col>
      <xdr:colOff>161925</xdr:colOff>
      <xdr:row>38</xdr:row>
      <xdr:rowOff>171450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EE302465-8D93-6D47-8BC9-5574647A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7829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39</xdr:row>
      <xdr:rowOff>19050</xdr:rowOff>
    </xdr:from>
    <xdr:to>
      <xdr:col>0</xdr:col>
      <xdr:colOff>161925</xdr:colOff>
      <xdr:row>39</xdr:row>
      <xdr:rowOff>171450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993554E4-D919-324B-8AEC-485AF1C84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8045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40</xdr:row>
      <xdr:rowOff>19050</xdr:rowOff>
    </xdr:from>
    <xdr:to>
      <xdr:col>0</xdr:col>
      <xdr:colOff>161925</xdr:colOff>
      <xdr:row>40</xdr:row>
      <xdr:rowOff>171450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4A75A33E-EA71-2345-8985-BA331F0A1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8261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41</xdr:row>
      <xdr:rowOff>19050</xdr:rowOff>
    </xdr:from>
    <xdr:to>
      <xdr:col>0</xdr:col>
      <xdr:colOff>161925</xdr:colOff>
      <xdr:row>41</xdr:row>
      <xdr:rowOff>171450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5FE2EF86-5230-214C-B1A0-DDC24952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8477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42</xdr:row>
      <xdr:rowOff>19050</xdr:rowOff>
    </xdr:from>
    <xdr:to>
      <xdr:col>0</xdr:col>
      <xdr:colOff>161925</xdr:colOff>
      <xdr:row>42</xdr:row>
      <xdr:rowOff>171450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2072FBE8-8C71-5347-BC24-27CFD220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8693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43</xdr:row>
      <xdr:rowOff>19050</xdr:rowOff>
    </xdr:from>
    <xdr:to>
      <xdr:col>0</xdr:col>
      <xdr:colOff>161925</xdr:colOff>
      <xdr:row>43</xdr:row>
      <xdr:rowOff>171450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9A03991-2361-C744-A91B-E0B3A11BB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8909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44</xdr:row>
      <xdr:rowOff>19050</xdr:rowOff>
    </xdr:from>
    <xdr:to>
      <xdr:col>0</xdr:col>
      <xdr:colOff>161925</xdr:colOff>
      <xdr:row>44</xdr:row>
      <xdr:rowOff>171450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4B7EECC9-8637-864A-ABE2-B0797EFE1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9124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45</xdr:row>
      <xdr:rowOff>19050</xdr:rowOff>
    </xdr:from>
    <xdr:to>
      <xdr:col>0</xdr:col>
      <xdr:colOff>161925</xdr:colOff>
      <xdr:row>45</xdr:row>
      <xdr:rowOff>171450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DD428C65-96C8-3848-8DC7-3D9C69810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9340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46</xdr:row>
      <xdr:rowOff>19050</xdr:rowOff>
    </xdr:from>
    <xdr:to>
      <xdr:col>0</xdr:col>
      <xdr:colOff>161925</xdr:colOff>
      <xdr:row>46</xdr:row>
      <xdr:rowOff>171450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E70E36BD-44E4-EE41-8033-11322C3F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9556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47</xdr:row>
      <xdr:rowOff>19050</xdr:rowOff>
    </xdr:from>
    <xdr:to>
      <xdr:col>0</xdr:col>
      <xdr:colOff>161925</xdr:colOff>
      <xdr:row>47</xdr:row>
      <xdr:rowOff>171450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AE892083-C10C-B54C-BE15-2E3F7266E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9772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48</xdr:row>
      <xdr:rowOff>19050</xdr:rowOff>
    </xdr:from>
    <xdr:to>
      <xdr:col>0</xdr:col>
      <xdr:colOff>161925</xdr:colOff>
      <xdr:row>48</xdr:row>
      <xdr:rowOff>171450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5A91F2B9-B720-794C-BF34-251B4DD4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9988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49</xdr:row>
      <xdr:rowOff>19050</xdr:rowOff>
    </xdr:from>
    <xdr:to>
      <xdr:col>0</xdr:col>
      <xdr:colOff>161925</xdr:colOff>
      <xdr:row>49</xdr:row>
      <xdr:rowOff>171450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FB32465C-0905-794E-B15F-17F2E9F35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0204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50</xdr:row>
      <xdr:rowOff>19050</xdr:rowOff>
    </xdr:from>
    <xdr:to>
      <xdr:col>0</xdr:col>
      <xdr:colOff>161925</xdr:colOff>
      <xdr:row>50</xdr:row>
      <xdr:rowOff>171450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9C1ABA2E-D9F2-1C45-9CAC-BBD2EE0AC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0420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51</xdr:row>
      <xdr:rowOff>19050</xdr:rowOff>
    </xdr:from>
    <xdr:to>
      <xdr:col>0</xdr:col>
      <xdr:colOff>161925</xdr:colOff>
      <xdr:row>51</xdr:row>
      <xdr:rowOff>171450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35DC5CFA-41BF-B144-8635-4F4793F96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0636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52</xdr:row>
      <xdr:rowOff>19050</xdr:rowOff>
    </xdr:from>
    <xdr:to>
      <xdr:col>0</xdr:col>
      <xdr:colOff>161925</xdr:colOff>
      <xdr:row>52</xdr:row>
      <xdr:rowOff>171450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C3DD1089-7508-6E4C-A9F3-C0588D5F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0852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53</xdr:row>
      <xdr:rowOff>19050</xdr:rowOff>
    </xdr:from>
    <xdr:to>
      <xdr:col>0</xdr:col>
      <xdr:colOff>161925</xdr:colOff>
      <xdr:row>53</xdr:row>
      <xdr:rowOff>171450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52C49B85-12EA-454F-BBB5-8CEC8FA31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1068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54</xdr:row>
      <xdr:rowOff>19050</xdr:rowOff>
    </xdr:from>
    <xdr:to>
      <xdr:col>0</xdr:col>
      <xdr:colOff>161925</xdr:colOff>
      <xdr:row>54</xdr:row>
      <xdr:rowOff>171450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CE5E45D9-127E-DD4E-A0BE-6314D373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1283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55</xdr:row>
      <xdr:rowOff>19050</xdr:rowOff>
    </xdr:from>
    <xdr:to>
      <xdr:col>0</xdr:col>
      <xdr:colOff>161925</xdr:colOff>
      <xdr:row>55</xdr:row>
      <xdr:rowOff>171450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70A9B0AF-510E-3342-9B9A-304E923EA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1499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56</xdr:row>
      <xdr:rowOff>19050</xdr:rowOff>
    </xdr:from>
    <xdr:to>
      <xdr:col>0</xdr:col>
      <xdr:colOff>161925</xdr:colOff>
      <xdr:row>56</xdr:row>
      <xdr:rowOff>171450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24D44322-0222-1D47-8460-980776CF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1715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57</xdr:row>
      <xdr:rowOff>19050</xdr:rowOff>
    </xdr:from>
    <xdr:to>
      <xdr:col>0</xdr:col>
      <xdr:colOff>161925</xdr:colOff>
      <xdr:row>57</xdr:row>
      <xdr:rowOff>171450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1AA2E7AA-9230-1149-A87F-02FB805A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1931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58</xdr:row>
      <xdr:rowOff>19050</xdr:rowOff>
    </xdr:from>
    <xdr:to>
      <xdr:col>0</xdr:col>
      <xdr:colOff>161925</xdr:colOff>
      <xdr:row>58</xdr:row>
      <xdr:rowOff>171450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55DBE677-9C0A-9C42-8848-4721D790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2147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59</xdr:row>
      <xdr:rowOff>19050</xdr:rowOff>
    </xdr:from>
    <xdr:to>
      <xdr:col>0</xdr:col>
      <xdr:colOff>161925</xdr:colOff>
      <xdr:row>59</xdr:row>
      <xdr:rowOff>171450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2BD6C23F-C43A-B747-ABD7-66B0B6C9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2363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60</xdr:row>
      <xdr:rowOff>19050</xdr:rowOff>
    </xdr:from>
    <xdr:to>
      <xdr:col>0</xdr:col>
      <xdr:colOff>161925</xdr:colOff>
      <xdr:row>60</xdr:row>
      <xdr:rowOff>171450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CDC129F0-028A-2048-A464-29DCD2EDD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2579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61</xdr:row>
      <xdr:rowOff>19050</xdr:rowOff>
    </xdr:from>
    <xdr:to>
      <xdr:col>0</xdr:col>
      <xdr:colOff>161925</xdr:colOff>
      <xdr:row>61</xdr:row>
      <xdr:rowOff>171450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277F463D-7B71-214E-A558-47D5195C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2795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62</xdr:row>
      <xdr:rowOff>19050</xdr:rowOff>
    </xdr:from>
    <xdr:to>
      <xdr:col>0</xdr:col>
      <xdr:colOff>161925</xdr:colOff>
      <xdr:row>62</xdr:row>
      <xdr:rowOff>171450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CABBB754-746C-9A4D-895B-25E92734B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3011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63</xdr:row>
      <xdr:rowOff>19050</xdr:rowOff>
    </xdr:from>
    <xdr:to>
      <xdr:col>0</xdr:col>
      <xdr:colOff>161925</xdr:colOff>
      <xdr:row>63</xdr:row>
      <xdr:rowOff>171450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52483D3B-A039-1E49-AD7E-54053BC7B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3227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64</xdr:row>
      <xdr:rowOff>19050</xdr:rowOff>
    </xdr:from>
    <xdr:to>
      <xdr:col>0</xdr:col>
      <xdr:colOff>161925</xdr:colOff>
      <xdr:row>64</xdr:row>
      <xdr:rowOff>171450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DBA9DF9-7FAD-264C-9EFE-AF33F666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3442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65</xdr:row>
      <xdr:rowOff>19050</xdr:rowOff>
    </xdr:from>
    <xdr:to>
      <xdr:col>0</xdr:col>
      <xdr:colOff>161925</xdr:colOff>
      <xdr:row>65</xdr:row>
      <xdr:rowOff>171450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2095574B-F133-3740-A08A-FB718E21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3658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66</xdr:row>
      <xdr:rowOff>19050</xdr:rowOff>
    </xdr:from>
    <xdr:to>
      <xdr:col>0</xdr:col>
      <xdr:colOff>161925</xdr:colOff>
      <xdr:row>66</xdr:row>
      <xdr:rowOff>171450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C95AAC8-2775-E344-ADF0-6B973572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3874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67</xdr:row>
      <xdr:rowOff>19050</xdr:rowOff>
    </xdr:from>
    <xdr:to>
      <xdr:col>0</xdr:col>
      <xdr:colOff>161925</xdr:colOff>
      <xdr:row>67</xdr:row>
      <xdr:rowOff>171450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91B11676-8920-FE45-ABAC-108140CE2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4090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68</xdr:row>
      <xdr:rowOff>19050</xdr:rowOff>
    </xdr:from>
    <xdr:to>
      <xdr:col>0</xdr:col>
      <xdr:colOff>161925</xdr:colOff>
      <xdr:row>68</xdr:row>
      <xdr:rowOff>171450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3ACEB099-2A17-8145-ACA4-0CA39159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4306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69</xdr:row>
      <xdr:rowOff>19050</xdr:rowOff>
    </xdr:from>
    <xdr:to>
      <xdr:col>0</xdr:col>
      <xdr:colOff>161925</xdr:colOff>
      <xdr:row>69</xdr:row>
      <xdr:rowOff>171450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FA7F9241-FDDF-2E49-BEFB-901F08A45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4522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70</xdr:row>
      <xdr:rowOff>19050</xdr:rowOff>
    </xdr:from>
    <xdr:to>
      <xdr:col>0</xdr:col>
      <xdr:colOff>161925</xdr:colOff>
      <xdr:row>70</xdr:row>
      <xdr:rowOff>171450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8BBDEA71-3E75-1F4D-AD8F-1E51E7902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4738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71</xdr:row>
      <xdr:rowOff>19050</xdr:rowOff>
    </xdr:from>
    <xdr:to>
      <xdr:col>0</xdr:col>
      <xdr:colOff>161925</xdr:colOff>
      <xdr:row>71</xdr:row>
      <xdr:rowOff>171450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046F6542-7D44-3646-BDDD-587C17118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14954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72</xdr:row>
      <xdr:rowOff>19050</xdr:rowOff>
    </xdr:from>
    <xdr:to>
      <xdr:col>0</xdr:col>
      <xdr:colOff>161925</xdr:colOff>
      <xdr:row>72</xdr:row>
      <xdr:rowOff>171450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0C8D9A88-72FC-C144-9D7F-B21ED3596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15170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73</xdr:row>
      <xdr:rowOff>19050</xdr:rowOff>
    </xdr:from>
    <xdr:to>
      <xdr:col>0</xdr:col>
      <xdr:colOff>161925</xdr:colOff>
      <xdr:row>73</xdr:row>
      <xdr:rowOff>171450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DFA16680-2651-8440-BDD5-D1151DE43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15386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74</xdr:row>
      <xdr:rowOff>19050</xdr:rowOff>
    </xdr:from>
    <xdr:to>
      <xdr:col>0</xdr:col>
      <xdr:colOff>161925</xdr:colOff>
      <xdr:row>74</xdr:row>
      <xdr:rowOff>171450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0E00C297-6E8C-7C47-8396-692EDB66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525" y="15601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75</xdr:row>
      <xdr:rowOff>19050</xdr:rowOff>
    </xdr:from>
    <xdr:to>
      <xdr:col>0</xdr:col>
      <xdr:colOff>161925</xdr:colOff>
      <xdr:row>75</xdr:row>
      <xdr:rowOff>171450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A47D6BF8-9741-5A4B-B381-40AD8D348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5817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76</xdr:row>
      <xdr:rowOff>19050</xdr:rowOff>
    </xdr:from>
    <xdr:to>
      <xdr:col>0</xdr:col>
      <xdr:colOff>161925</xdr:colOff>
      <xdr:row>76</xdr:row>
      <xdr:rowOff>171450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5B60978F-F779-214E-A677-2F7FDD28C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6033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77</xdr:row>
      <xdr:rowOff>19050</xdr:rowOff>
    </xdr:from>
    <xdr:to>
      <xdr:col>0</xdr:col>
      <xdr:colOff>161925</xdr:colOff>
      <xdr:row>77</xdr:row>
      <xdr:rowOff>171450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ACF3D53B-8FE3-EF49-A62A-85E43806C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6249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78</xdr:row>
      <xdr:rowOff>19050</xdr:rowOff>
    </xdr:from>
    <xdr:to>
      <xdr:col>0</xdr:col>
      <xdr:colOff>161925</xdr:colOff>
      <xdr:row>78</xdr:row>
      <xdr:rowOff>171450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9F343CD2-BAC3-9747-8C65-08656147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6465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79</xdr:row>
      <xdr:rowOff>19050</xdr:rowOff>
    </xdr:from>
    <xdr:to>
      <xdr:col>0</xdr:col>
      <xdr:colOff>161925</xdr:colOff>
      <xdr:row>79</xdr:row>
      <xdr:rowOff>171450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58757D78-A879-894D-A0FB-97D30FF0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6681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80</xdr:row>
      <xdr:rowOff>19050</xdr:rowOff>
    </xdr:from>
    <xdr:to>
      <xdr:col>0</xdr:col>
      <xdr:colOff>161925</xdr:colOff>
      <xdr:row>80</xdr:row>
      <xdr:rowOff>171450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E15BE54C-8A7E-8549-9EBD-5818D4934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6897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81</xdr:row>
      <xdr:rowOff>19050</xdr:rowOff>
    </xdr:from>
    <xdr:to>
      <xdr:col>0</xdr:col>
      <xdr:colOff>161925</xdr:colOff>
      <xdr:row>81</xdr:row>
      <xdr:rowOff>171450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3BF49B13-9AF5-A54B-A2B9-D7066C9A6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7113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82</xdr:row>
      <xdr:rowOff>19050</xdr:rowOff>
    </xdr:from>
    <xdr:to>
      <xdr:col>0</xdr:col>
      <xdr:colOff>161925</xdr:colOff>
      <xdr:row>82</xdr:row>
      <xdr:rowOff>171450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E47DBE46-9413-854A-ADB0-F167708F7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7329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83</xdr:row>
      <xdr:rowOff>19050</xdr:rowOff>
    </xdr:from>
    <xdr:to>
      <xdr:col>0</xdr:col>
      <xdr:colOff>161925</xdr:colOff>
      <xdr:row>83</xdr:row>
      <xdr:rowOff>171450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3B455F23-3C05-DF4F-BE4A-4CFDBC9CB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7545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84</xdr:row>
      <xdr:rowOff>19050</xdr:rowOff>
    </xdr:from>
    <xdr:to>
      <xdr:col>0</xdr:col>
      <xdr:colOff>161925</xdr:colOff>
      <xdr:row>84</xdr:row>
      <xdr:rowOff>171450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2BD58808-05B9-FB42-9170-323320569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77609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85</xdr:row>
      <xdr:rowOff>19050</xdr:rowOff>
    </xdr:from>
    <xdr:to>
      <xdr:col>0</xdr:col>
      <xdr:colOff>161925</xdr:colOff>
      <xdr:row>85</xdr:row>
      <xdr:rowOff>171450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CB59F87F-3B1B-A44A-A285-89591BBF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79768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86</xdr:row>
      <xdr:rowOff>19050</xdr:rowOff>
    </xdr:from>
    <xdr:to>
      <xdr:col>0</xdr:col>
      <xdr:colOff>161925</xdr:colOff>
      <xdr:row>86</xdr:row>
      <xdr:rowOff>171450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C22B569F-FEAD-4043-8DD0-718DB81A5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81927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87</xdr:row>
      <xdr:rowOff>19050</xdr:rowOff>
    </xdr:from>
    <xdr:to>
      <xdr:col>0</xdr:col>
      <xdr:colOff>161925</xdr:colOff>
      <xdr:row>87</xdr:row>
      <xdr:rowOff>171450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D533C2BE-24AE-0940-802C-47748F86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84086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88</xdr:row>
      <xdr:rowOff>19050</xdr:rowOff>
    </xdr:from>
    <xdr:to>
      <xdr:col>0</xdr:col>
      <xdr:colOff>161925</xdr:colOff>
      <xdr:row>88</xdr:row>
      <xdr:rowOff>171450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C70878E8-772B-3147-8BAF-3F631846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86245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89</xdr:row>
      <xdr:rowOff>19050</xdr:rowOff>
    </xdr:from>
    <xdr:to>
      <xdr:col>0</xdr:col>
      <xdr:colOff>161925</xdr:colOff>
      <xdr:row>89</xdr:row>
      <xdr:rowOff>171450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0F93B306-A9F2-874A-8E8F-DFCFFB917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525" y="188404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90</xdr:row>
      <xdr:rowOff>19050</xdr:rowOff>
    </xdr:from>
    <xdr:to>
      <xdr:col>0</xdr:col>
      <xdr:colOff>161925</xdr:colOff>
      <xdr:row>90</xdr:row>
      <xdr:rowOff>171450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DE825BEF-6797-A040-BE48-1FD665069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90563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91</xdr:row>
      <xdr:rowOff>19050</xdr:rowOff>
    </xdr:from>
    <xdr:to>
      <xdr:col>0</xdr:col>
      <xdr:colOff>161925</xdr:colOff>
      <xdr:row>91</xdr:row>
      <xdr:rowOff>171450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19408DE9-2C36-EC4A-80ED-2D73C7C1C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" y="192722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92</xdr:row>
      <xdr:rowOff>19050</xdr:rowOff>
    </xdr:from>
    <xdr:to>
      <xdr:col>0</xdr:col>
      <xdr:colOff>161925</xdr:colOff>
      <xdr:row>92</xdr:row>
      <xdr:rowOff>171450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D93D0BA8-7C5D-EC42-BCB6-41A20628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94881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93</xdr:row>
      <xdr:rowOff>19050</xdr:rowOff>
    </xdr:from>
    <xdr:to>
      <xdr:col>0</xdr:col>
      <xdr:colOff>161925</xdr:colOff>
      <xdr:row>93</xdr:row>
      <xdr:rowOff>171450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F19FF764-9F98-354B-8902-878D471D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9525" y="19704050"/>
          <a:ext cx="1397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114300</xdr:rowOff>
    </xdr:from>
    <xdr:to>
      <xdr:col>0</xdr:col>
      <xdr:colOff>12700</xdr:colOff>
      <xdr:row>3</xdr:row>
      <xdr:rowOff>127000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9B549D5E-AA34-3B67-7726-6EA8DFD3F6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114300</xdr:rowOff>
    </xdr:from>
    <xdr:to>
      <xdr:col>0</xdr:col>
      <xdr:colOff>12700</xdr:colOff>
      <xdr:row>3</xdr:row>
      <xdr:rowOff>127000</xdr:rowOff>
    </xdr:to>
    <xdr:pic>
      <xdr:nvPicPr>
        <xdr:cNvPr id="94" name="Picture 93" descr="Descr ">
          <a:extLst>
            <a:ext uri="{FF2B5EF4-FFF2-40B4-BE49-F238E27FC236}">
              <a16:creationId xmlns:a16="http://schemas.microsoft.com/office/drawing/2014/main" id="{B0DD2B61-94C6-67A3-DEA3-98F729B69D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114300</xdr:rowOff>
    </xdr:from>
    <xdr:to>
      <xdr:col>0</xdr:col>
      <xdr:colOff>12700</xdr:colOff>
      <xdr:row>3</xdr:row>
      <xdr:rowOff>127000</xdr:rowOff>
    </xdr:to>
    <xdr:pic>
      <xdr:nvPicPr>
        <xdr:cNvPr id="95" name="Picture 94" descr="Descr ">
          <a:extLst>
            <a:ext uri="{FF2B5EF4-FFF2-40B4-BE49-F238E27FC236}">
              <a16:creationId xmlns:a16="http://schemas.microsoft.com/office/drawing/2014/main" id="{69EDDFB8-C231-035A-0075-61EEC4E881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C73F-7501-2542-AFAB-2FB1A6D54E5E}">
  <dimension ref="A1:P33"/>
  <sheetViews>
    <sheetView topLeftCell="A4" zoomScale="123" zoomScaleNormal="123" workbookViewId="0">
      <selection activeCell="F2" sqref="F2"/>
    </sheetView>
  </sheetViews>
  <sheetFormatPr defaultColWidth="10.97265625" defaultRowHeight="16.5" x14ac:dyDescent="0.25"/>
  <cols>
    <col min="1" max="1" width="27.8671875" customWidth="1"/>
    <col min="2" max="2" width="31.9375" customWidth="1"/>
    <col min="3" max="5" width="15.90625" customWidth="1"/>
    <col min="6" max="6" width="33.16796875" customWidth="1"/>
    <col min="7" max="7" width="6.90234375" customWidth="1"/>
    <col min="8" max="8" width="18.49609375" customWidth="1"/>
    <col min="9" max="9" width="17.5078125" customWidth="1"/>
    <col min="10" max="10" width="5.546875" customWidth="1"/>
    <col min="11" max="11" width="24.5390625" customWidth="1"/>
    <col min="12" max="16" width="16.02734375" customWidth="1"/>
  </cols>
  <sheetData>
    <row r="1" spans="1:16" ht="48" customHeight="1" x14ac:dyDescent="0.25">
      <c r="A1" s="137" t="s">
        <v>0</v>
      </c>
      <c r="B1" s="138"/>
      <c r="C1" s="138"/>
      <c r="D1" s="138"/>
      <c r="E1" s="139"/>
      <c r="F1" s="18" t="s">
        <v>1</v>
      </c>
    </row>
    <row r="2" spans="1:16" ht="48" customHeight="1" x14ac:dyDescent="0.2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H2" s="16" t="s">
        <v>8</v>
      </c>
      <c r="I2" s="16" t="s">
        <v>9</v>
      </c>
      <c r="K2" s="19" t="s">
        <v>10</v>
      </c>
      <c r="L2" s="8" t="s">
        <v>11</v>
      </c>
      <c r="M2" s="15" t="s">
        <v>12</v>
      </c>
      <c r="N2" s="8" t="s">
        <v>13</v>
      </c>
      <c r="O2" s="8" t="s">
        <v>14</v>
      </c>
      <c r="P2" s="8" t="s">
        <v>15</v>
      </c>
    </row>
    <row r="3" spans="1:16" ht="15.95" customHeight="1" x14ac:dyDescent="0.25">
      <c r="A3" s="10" t="s">
        <v>16</v>
      </c>
      <c r="B3" s="11" t="s">
        <v>17</v>
      </c>
      <c r="C3" s="12">
        <v>0</v>
      </c>
      <c r="D3" s="12">
        <v>0</v>
      </c>
      <c r="E3" s="12">
        <v>0</v>
      </c>
      <c r="F3" s="13">
        <f>SUM($L$3:$P$24)*K3</f>
        <v>0</v>
      </c>
      <c r="H3" s="17">
        <f t="shared" ref="H3:H24" si="0">SUM(C3:F3)</f>
        <v>0</v>
      </c>
      <c r="I3" s="17">
        <f>H3/12</f>
        <v>0</v>
      </c>
      <c r="K3" s="23">
        <v>0</v>
      </c>
      <c r="L3" s="136">
        <v>12000000</v>
      </c>
      <c r="M3" s="136">
        <v>12000000</v>
      </c>
      <c r="N3" s="136">
        <v>12000000</v>
      </c>
      <c r="O3" s="136">
        <v>12000000</v>
      </c>
      <c r="P3" s="136">
        <v>12000000</v>
      </c>
    </row>
    <row r="4" spans="1:16" x14ac:dyDescent="0.25">
      <c r="A4" s="10" t="s">
        <v>16</v>
      </c>
      <c r="B4" s="10" t="s">
        <v>18</v>
      </c>
      <c r="C4" s="12">
        <v>0</v>
      </c>
      <c r="D4" s="12">
        <v>0</v>
      </c>
      <c r="E4" s="12">
        <v>0</v>
      </c>
      <c r="F4" s="13">
        <f t="shared" ref="F4:F24" si="1">SUM($L$3:$P$24)*K4</f>
        <v>0</v>
      </c>
      <c r="H4" s="17">
        <f t="shared" si="0"/>
        <v>0</v>
      </c>
      <c r="I4" s="17">
        <f t="shared" ref="I4:I24" si="2">H4/12</f>
        <v>0</v>
      </c>
      <c r="K4" s="23">
        <v>0</v>
      </c>
      <c r="L4" s="136"/>
      <c r="M4" s="136"/>
      <c r="N4" s="136"/>
      <c r="O4" s="136"/>
      <c r="P4" s="136"/>
    </row>
    <row r="5" spans="1:16" x14ac:dyDescent="0.25">
      <c r="A5" s="10" t="s">
        <v>16</v>
      </c>
      <c r="B5" s="10" t="s">
        <v>19</v>
      </c>
      <c r="C5" s="12">
        <v>0</v>
      </c>
      <c r="D5" s="12">
        <v>0</v>
      </c>
      <c r="E5" s="12">
        <v>0</v>
      </c>
      <c r="F5" s="13">
        <f t="shared" si="1"/>
        <v>0</v>
      </c>
      <c r="H5" s="17">
        <f t="shared" si="0"/>
        <v>0</v>
      </c>
      <c r="I5" s="17">
        <f t="shared" si="2"/>
        <v>0</v>
      </c>
      <c r="K5" s="23">
        <v>0</v>
      </c>
      <c r="L5" s="136"/>
      <c r="M5" s="136"/>
      <c r="N5" s="136"/>
      <c r="O5" s="136"/>
      <c r="P5" s="136"/>
    </row>
    <row r="6" spans="1:16" x14ac:dyDescent="0.25">
      <c r="A6" s="10" t="s">
        <v>16</v>
      </c>
      <c r="B6" s="10" t="s">
        <v>20</v>
      </c>
      <c r="C6" s="12">
        <v>0</v>
      </c>
      <c r="D6" s="12">
        <v>0</v>
      </c>
      <c r="E6" s="12">
        <v>0</v>
      </c>
      <c r="F6" s="13">
        <f t="shared" si="1"/>
        <v>0</v>
      </c>
      <c r="H6" s="17">
        <f t="shared" si="0"/>
        <v>0</v>
      </c>
      <c r="I6" s="17">
        <f t="shared" si="2"/>
        <v>0</v>
      </c>
      <c r="K6" s="23">
        <v>0</v>
      </c>
      <c r="L6" s="136"/>
      <c r="M6" s="136"/>
      <c r="N6" s="136"/>
      <c r="O6" s="136"/>
      <c r="P6" s="136"/>
    </row>
    <row r="7" spans="1:16" x14ac:dyDescent="0.25">
      <c r="A7" s="10" t="s">
        <v>21</v>
      </c>
      <c r="B7" s="10" t="s">
        <v>21</v>
      </c>
      <c r="C7" s="12">
        <v>0</v>
      </c>
      <c r="D7" s="12">
        <v>0</v>
      </c>
      <c r="E7" s="12">
        <v>0</v>
      </c>
      <c r="F7" s="13">
        <f t="shared" si="1"/>
        <v>0</v>
      </c>
      <c r="H7" s="17">
        <f t="shared" si="0"/>
        <v>0</v>
      </c>
      <c r="I7" s="17">
        <f t="shared" si="2"/>
        <v>0</v>
      </c>
      <c r="K7" s="23">
        <v>0</v>
      </c>
      <c r="L7" s="136"/>
      <c r="M7" s="136"/>
      <c r="N7" s="136"/>
      <c r="O7" s="136"/>
      <c r="P7" s="136"/>
    </row>
    <row r="8" spans="1:16" x14ac:dyDescent="0.25">
      <c r="A8" s="10" t="s">
        <v>22</v>
      </c>
      <c r="B8" s="10" t="s">
        <v>23</v>
      </c>
      <c r="C8" s="12">
        <v>120000</v>
      </c>
      <c r="D8" s="14">
        <v>120000</v>
      </c>
      <c r="E8" s="14">
        <v>120000</v>
      </c>
      <c r="F8" s="13">
        <f t="shared" si="1"/>
        <v>26815315.814099871</v>
      </c>
      <c r="H8" s="17">
        <f t="shared" si="0"/>
        <v>27175315.814099871</v>
      </c>
      <c r="I8" s="17">
        <f t="shared" si="2"/>
        <v>2264609.6511749891</v>
      </c>
      <c r="K8" s="23">
        <f>Продукти!G14+Продукти!L14</f>
        <v>0.44692193023499782</v>
      </c>
      <c r="L8" s="136"/>
      <c r="M8" s="136"/>
      <c r="N8" s="136"/>
      <c r="O8" s="136"/>
      <c r="P8" s="136"/>
    </row>
    <row r="9" spans="1:16" ht="18" customHeight="1" x14ac:dyDescent="0.25">
      <c r="A9" s="10" t="s">
        <v>22</v>
      </c>
      <c r="B9" s="10" t="s">
        <v>24</v>
      </c>
      <c r="C9" s="12">
        <v>0</v>
      </c>
      <c r="D9" s="12">
        <v>0</v>
      </c>
      <c r="E9" s="12">
        <v>0</v>
      </c>
      <c r="F9" s="13">
        <f t="shared" si="1"/>
        <v>0</v>
      </c>
      <c r="H9" s="17">
        <f t="shared" si="0"/>
        <v>0</v>
      </c>
      <c r="I9" s="17">
        <f t="shared" si="2"/>
        <v>0</v>
      </c>
      <c r="K9" s="23">
        <v>0</v>
      </c>
      <c r="L9" s="136"/>
      <c r="M9" s="136"/>
      <c r="N9" s="136"/>
      <c r="O9" s="136"/>
      <c r="P9" s="136"/>
    </row>
    <row r="10" spans="1:16" x14ac:dyDescent="0.25">
      <c r="A10" s="10" t="s">
        <v>22</v>
      </c>
      <c r="B10" s="10" t="s">
        <v>25</v>
      </c>
      <c r="C10" s="12">
        <v>120000</v>
      </c>
      <c r="D10" s="12">
        <v>120000</v>
      </c>
      <c r="E10" s="12">
        <v>120000</v>
      </c>
      <c r="F10" s="13">
        <f t="shared" si="1"/>
        <v>30050110.366316214</v>
      </c>
      <c r="H10" s="17">
        <f t="shared" si="0"/>
        <v>30410110.366316214</v>
      </c>
      <c r="I10" s="17">
        <f t="shared" si="2"/>
        <v>2534175.8638596847</v>
      </c>
      <c r="K10" s="23">
        <f>Продукти!K14</f>
        <v>0.5008351727719369</v>
      </c>
      <c r="L10" s="136"/>
      <c r="M10" s="136"/>
      <c r="N10" s="136"/>
      <c r="O10" s="136"/>
      <c r="P10" s="136"/>
    </row>
    <row r="11" spans="1:16" x14ac:dyDescent="0.25">
      <c r="A11" s="10" t="s">
        <v>26</v>
      </c>
      <c r="B11" s="10" t="s">
        <v>27</v>
      </c>
      <c r="C11" s="12">
        <v>120000</v>
      </c>
      <c r="D11" s="12">
        <v>120000</v>
      </c>
      <c r="E11" s="12">
        <v>120000</v>
      </c>
      <c r="F11" s="13">
        <f t="shared" si="1"/>
        <v>0</v>
      </c>
      <c r="H11" s="17">
        <f t="shared" si="0"/>
        <v>360000</v>
      </c>
      <c r="I11" s="17">
        <f t="shared" si="2"/>
        <v>30000</v>
      </c>
      <c r="K11" s="23">
        <v>0</v>
      </c>
      <c r="L11" s="136"/>
      <c r="M11" s="136"/>
      <c r="N11" s="136"/>
      <c r="O11" s="136"/>
      <c r="P11" s="136"/>
    </row>
    <row r="12" spans="1:16" x14ac:dyDescent="0.25">
      <c r="A12" s="10" t="s">
        <v>26</v>
      </c>
      <c r="B12" s="10" t="s">
        <v>28</v>
      </c>
      <c r="C12" s="12">
        <v>120000</v>
      </c>
      <c r="D12" s="12">
        <v>120000</v>
      </c>
      <c r="E12" s="12">
        <v>120000</v>
      </c>
      <c r="F12" s="13">
        <f t="shared" si="1"/>
        <v>0</v>
      </c>
      <c r="H12" s="17">
        <f t="shared" si="0"/>
        <v>360000</v>
      </c>
      <c r="I12" s="17"/>
      <c r="K12" s="23">
        <v>0</v>
      </c>
      <c r="L12" s="136"/>
      <c r="M12" s="136"/>
      <c r="N12" s="136"/>
      <c r="O12" s="136"/>
      <c r="P12" s="136"/>
    </row>
    <row r="13" spans="1:16" x14ac:dyDescent="0.25">
      <c r="A13" s="10" t="s">
        <v>26</v>
      </c>
      <c r="B13" s="10" t="s">
        <v>29</v>
      </c>
      <c r="C13" s="12">
        <v>120000</v>
      </c>
      <c r="D13" s="12">
        <v>120000</v>
      </c>
      <c r="E13" s="12">
        <v>120000</v>
      </c>
      <c r="F13" s="13">
        <f t="shared" si="1"/>
        <v>0</v>
      </c>
      <c r="H13" s="17">
        <f t="shared" si="0"/>
        <v>360000</v>
      </c>
      <c r="I13" s="17">
        <f t="shared" si="2"/>
        <v>30000</v>
      </c>
      <c r="K13" s="23">
        <v>0</v>
      </c>
      <c r="L13" s="136"/>
      <c r="M13" s="136"/>
      <c r="N13" s="136"/>
      <c r="O13" s="136"/>
      <c r="P13" s="136"/>
    </row>
    <row r="14" spans="1:16" x14ac:dyDescent="0.25">
      <c r="A14" s="10" t="s">
        <v>26</v>
      </c>
      <c r="B14" s="10" t="s">
        <v>30</v>
      </c>
      <c r="C14" s="12">
        <v>120000</v>
      </c>
      <c r="D14" s="12">
        <v>120000</v>
      </c>
      <c r="E14" s="12">
        <v>120000</v>
      </c>
      <c r="F14" s="13">
        <f t="shared" si="1"/>
        <v>0</v>
      </c>
      <c r="H14" s="17">
        <f t="shared" si="0"/>
        <v>360000</v>
      </c>
      <c r="I14" s="17">
        <f t="shared" si="2"/>
        <v>30000</v>
      </c>
      <c r="K14" s="23">
        <v>0</v>
      </c>
      <c r="L14" s="136"/>
      <c r="M14" s="136"/>
      <c r="N14" s="136"/>
      <c r="O14" s="136"/>
      <c r="P14" s="136"/>
    </row>
    <row r="15" spans="1:16" x14ac:dyDescent="0.25">
      <c r="A15" s="10" t="s">
        <v>31</v>
      </c>
      <c r="B15" s="10" t="s">
        <v>32</v>
      </c>
      <c r="C15" s="14" t="s">
        <v>33</v>
      </c>
      <c r="D15" s="14" t="s">
        <v>33</v>
      </c>
      <c r="E15" s="14" t="s">
        <v>33</v>
      </c>
      <c r="F15" s="13">
        <f t="shared" si="1"/>
        <v>0</v>
      </c>
      <c r="H15" s="17">
        <f t="shared" si="0"/>
        <v>0</v>
      </c>
      <c r="I15" s="17">
        <f t="shared" si="2"/>
        <v>0</v>
      </c>
      <c r="K15" s="23">
        <v>0</v>
      </c>
      <c r="L15" s="136"/>
      <c r="M15" s="136"/>
      <c r="N15" s="136"/>
      <c r="O15" s="136"/>
      <c r="P15" s="136"/>
    </row>
    <row r="16" spans="1:16" x14ac:dyDescent="0.25">
      <c r="A16" s="10" t="s">
        <v>31</v>
      </c>
      <c r="B16" s="10" t="s">
        <v>34</v>
      </c>
      <c r="C16" s="12">
        <v>120000</v>
      </c>
      <c r="D16" s="12">
        <v>120000</v>
      </c>
      <c r="E16" s="12">
        <v>120000</v>
      </c>
      <c r="F16" s="13">
        <f t="shared" si="1"/>
        <v>0</v>
      </c>
      <c r="H16" s="17">
        <f t="shared" si="0"/>
        <v>360000</v>
      </c>
      <c r="I16" s="17">
        <f t="shared" si="2"/>
        <v>30000</v>
      </c>
      <c r="K16" s="23">
        <v>0</v>
      </c>
      <c r="L16" s="136"/>
      <c r="M16" s="136"/>
      <c r="N16" s="136"/>
      <c r="O16" s="136"/>
      <c r="P16" s="136"/>
    </row>
    <row r="17" spans="1:16" x14ac:dyDescent="0.25">
      <c r="A17" s="10" t="s">
        <v>31</v>
      </c>
      <c r="B17" s="10" t="s">
        <v>35</v>
      </c>
      <c r="C17" s="12">
        <v>0</v>
      </c>
      <c r="D17" s="12">
        <v>0</v>
      </c>
      <c r="E17" s="12">
        <v>0</v>
      </c>
      <c r="F17" s="13">
        <f t="shared" si="1"/>
        <v>0</v>
      </c>
      <c r="H17" s="17">
        <f t="shared" si="0"/>
        <v>0</v>
      </c>
      <c r="I17" s="17">
        <f t="shared" si="2"/>
        <v>0</v>
      </c>
      <c r="K17" s="23">
        <v>0</v>
      </c>
      <c r="L17" s="136"/>
      <c r="M17" s="136"/>
      <c r="N17" s="136"/>
      <c r="O17" s="136"/>
      <c r="P17" s="136"/>
    </row>
    <row r="18" spans="1:16" x14ac:dyDescent="0.25">
      <c r="A18" s="10" t="s">
        <v>31</v>
      </c>
      <c r="B18" s="10" t="s">
        <v>36</v>
      </c>
      <c r="C18" s="12">
        <v>120000</v>
      </c>
      <c r="D18" s="12">
        <v>120000</v>
      </c>
      <c r="E18" s="12">
        <v>120000</v>
      </c>
      <c r="F18" s="13">
        <f t="shared" si="1"/>
        <v>0</v>
      </c>
      <c r="H18" s="17">
        <f t="shared" si="0"/>
        <v>360000</v>
      </c>
      <c r="I18" s="17">
        <f t="shared" si="2"/>
        <v>30000</v>
      </c>
      <c r="K18" s="23">
        <v>0</v>
      </c>
      <c r="L18" s="136"/>
      <c r="M18" s="136"/>
      <c r="N18" s="136"/>
      <c r="O18" s="136"/>
      <c r="P18" s="136"/>
    </row>
    <row r="19" spans="1:16" x14ac:dyDescent="0.25">
      <c r="A19" s="10" t="s">
        <v>31</v>
      </c>
      <c r="B19" s="10" t="s">
        <v>37</v>
      </c>
      <c r="C19" s="12">
        <v>0</v>
      </c>
      <c r="D19" s="12">
        <v>0</v>
      </c>
      <c r="E19" s="12">
        <v>0</v>
      </c>
      <c r="F19" s="13">
        <f t="shared" si="1"/>
        <v>2464916.2707240689</v>
      </c>
      <c r="H19" s="17">
        <f t="shared" si="0"/>
        <v>2464916.2707240689</v>
      </c>
      <c r="I19" s="17">
        <f t="shared" si="2"/>
        <v>205409.68922700573</v>
      </c>
      <c r="K19" s="23">
        <f>Продукти!E14+Продукти!F14+Продукти!J14</f>
        <v>4.1081937845401151E-2</v>
      </c>
      <c r="L19" s="136"/>
      <c r="M19" s="136"/>
      <c r="N19" s="136"/>
      <c r="O19" s="136"/>
      <c r="P19" s="136"/>
    </row>
    <row r="20" spans="1:16" x14ac:dyDescent="0.25">
      <c r="A20" s="10" t="s">
        <v>38</v>
      </c>
      <c r="B20" s="10" t="s">
        <v>39</v>
      </c>
      <c r="C20" s="12">
        <v>0</v>
      </c>
      <c r="D20" s="12">
        <v>0</v>
      </c>
      <c r="E20" s="12">
        <v>0</v>
      </c>
      <c r="F20" s="13">
        <f t="shared" si="1"/>
        <v>666215.10632052983</v>
      </c>
      <c r="H20" s="17">
        <f t="shared" si="0"/>
        <v>666215.10632052983</v>
      </c>
      <c r="I20" s="17">
        <f t="shared" si="2"/>
        <v>55517.925526710816</v>
      </c>
      <c r="K20" s="141">
        <f>Продукти!H14</f>
        <v>1.1103585105342165E-2</v>
      </c>
      <c r="L20" s="136"/>
      <c r="M20" s="136"/>
      <c r="N20" s="136"/>
      <c r="O20" s="136"/>
      <c r="P20" s="136"/>
    </row>
    <row r="21" spans="1:16" x14ac:dyDescent="0.25">
      <c r="A21" s="10" t="s">
        <v>38</v>
      </c>
      <c r="B21" s="10" t="s">
        <v>40</v>
      </c>
      <c r="C21" s="12">
        <v>0</v>
      </c>
      <c r="D21" s="12">
        <v>0</v>
      </c>
      <c r="E21" s="12">
        <v>0</v>
      </c>
      <c r="F21" s="13">
        <f t="shared" si="1"/>
        <v>0</v>
      </c>
      <c r="H21" s="17">
        <f t="shared" si="0"/>
        <v>0</v>
      </c>
      <c r="I21" s="17">
        <f t="shared" si="2"/>
        <v>0</v>
      </c>
      <c r="K21" s="141"/>
      <c r="L21" s="136"/>
      <c r="M21" s="136"/>
      <c r="N21" s="136"/>
      <c r="O21" s="136"/>
      <c r="P21" s="136"/>
    </row>
    <row r="22" spans="1:16" x14ac:dyDescent="0.25">
      <c r="A22" s="10" t="s">
        <v>38</v>
      </c>
      <c r="B22" s="10" t="s">
        <v>41</v>
      </c>
      <c r="C22" s="12">
        <v>0</v>
      </c>
      <c r="D22" s="12">
        <v>0</v>
      </c>
      <c r="E22" s="12">
        <v>0</v>
      </c>
      <c r="F22" s="13">
        <f t="shared" si="1"/>
        <v>0</v>
      </c>
      <c r="H22" s="17">
        <f t="shared" si="0"/>
        <v>0</v>
      </c>
      <c r="I22" s="17">
        <f t="shared" si="2"/>
        <v>0</v>
      </c>
      <c r="K22" s="141"/>
      <c r="L22" s="136"/>
      <c r="M22" s="136"/>
      <c r="N22" s="136"/>
      <c r="O22" s="136"/>
      <c r="P22" s="136"/>
    </row>
    <row r="23" spans="1:16" x14ac:dyDescent="0.25">
      <c r="A23" s="10" t="s">
        <v>38</v>
      </c>
      <c r="B23" s="10" t="s">
        <v>42</v>
      </c>
      <c r="C23" s="12">
        <v>0</v>
      </c>
      <c r="D23" s="12">
        <v>0</v>
      </c>
      <c r="E23" s="12">
        <v>0</v>
      </c>
      <c r="F23" s="13">
        <f t="shared" si="1"/>
        <v>0</v>
      </c>
      <c r="H23" s="17">
        <f t="shared" si="0"/>
        <v>0</v>
      </c>
      <c r="I23" s="17">
        <f t="shared" si="2"/>
        <v>0</v>
      </c>
      <c r="K23" s="141"/>
      <c r="L23" s="136"/>
      <c r="M23" s="136"/>
      <c r="N23" s="136"/>
      <c r="O23" s="136"/>
      <c r="P23" s="136"/>
    </row>
    <row r="24" spans="1:16" x14ac:dyDescent="0.25">
      <c r="A24" s="10" t="s">
        <v>43</v>
      </c>
      <c r="B24" s="10" t="s">
        <v>44</v>
      </c>
      <c r="C24" s="12">
        <v>0</v>
      </c>
      <c r="D24" s="12">
        <v>0</v>
      </c>
      <c r="E24" s="12">
        <v>0</v>
      </c>
      <c r="F24" s="13">
        <f t="shared" si="1"/>
        <v>0</v>
      </c>
      <c r="H24" s="17">
        <f t="shared" si="0"/>
        <v>0</v>
      </c>
      <c r="I24" s="17">
        <f t="shared" si="2"/>
        <v>0</v>
      </c>
      <c r="K24" s="141"/>
      <c r="L24" s="136"/>
      <c r="M24" s="136"/>
      <c r="N24" s="136"/>
      <c r="O24" s="136"/>
      <c r="P24" s="136"/>
    </row>
    <row r="26" spans="1:16" x14ac:dyDescent="0.25">
      <c r="A26" s="140" t="s">
        <v>45</v>
      </c>
      <c r="B26" s="1" t="s">
        <v>46</v>
      </c>
    </row>
    <row r="27" spans="1:16" x14ac:dyDescent="0.25">
      <c r="A27" s="140"/>
      <c r="B27" s="1" t="s">
        <v>47</v>
      </c>
    </row>
    <row r="28" spans="1:16" x14ac:dyDescent="0.25">
      <c r="A28" s="140"/>
      <c r="B28" s="1" t="s">
        <v>48</v>
      </c>
    </row>
    <row r="33" spans="8:8" x14ac:dyDescent="0.25">
      <c r="H33" t="s">
        <v>49</v>
      </c>
    </row>
  </sheetData>
  <mergeCells count="8">
    <mergeCell ref="N3:N24"/>
    <mergeCell ref="O3:O24"/>
    <mergeCell ref="P3:P24"/>
    <mergeCell ref="A1:E1"/>
    <mergeCell ref="A26:A28"/>
    <mergeCell ref="K20:K24"/>
    <mergeCell ref="L3:L24"/>
    <mergeCell ref="M3:M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53E8-C20C-4F56-A2C6-E406212CDA8C}">
  <dimension ref="A1:L25"/>
  <sheetViews>
    <sheetView workbookViewId="0">
      <selection activeCell="A19" sqref="A19:C25"/>
    </sheetView>
  </sheetViews>
  <sheetFormatPr defaultRowHeight="16.5" x14ac:dyDescent="0.25"/>
  <cols>
    <col min="2" max="2" width="42.6640625" customWidth="1"/>
    <col min="3" max="4" width="30.33203125" customWidth="1"/>
    <col min="5" max="5" width="20.9609375" bestFit="1" customWidth="1"/>
    <col min="6" max="6" width="11.7109375" customWidth="1"/>
    <col min="7" max="7" width="16.15234375" customWidth="1"/>
    <col min="8" max="11" width="11.7109375" customWidth="1"/>
  </cols>
  <sheetData>
    <row r="1" spans="2:12" x14ac:dyDescent="0.25">
      <c r="I1" s="142"/>
      <c r="J1" s="142"/>
      <c r="K1" s="65"/>
    </row>
    <row r="9" spans="2:12" x14ac:dyDescent="0.25">
      <c r="E9" s="142" t="s">
        <v>50</v>
      </c>
      <c r="F9" s="142"/>
      <c r="G9" s="142"/>
      <c r="H9" s="142"/>
      <c r="I9" s="142"/>
      <c r="J9" s="142"/>
      <c r="K9" s="142"/>
      <c r="L9" t="s">
        <v>51</v>
      </c>
    </row>
    <row r="10" spans="2:12" x14ac:dyDescent="0.25">
      <c r="B10" s="66"/>
      <c r="C10" s="66"/>
      <c r="D10" s="66"/>
      <c r="E10" s="143" t="s">
        <v>52</v>
      </c>
      <c r="F10" s="143"/>
      <c r="G10" s="143"/>
      <c r="H10" s="143" t="s">
        <v>53</v>
      </c>
      <c r="I10" s="143"/>
      <c r="J10" s="143"/>
    </row>
    <row r="11" spans="2:12" x14ac:dyDescent="0.25">
      <c r="B11" s="66"/>
      <c r="C11" s="66" t="s">
        <v>54</v>
      </c>
      <c r="D11" s="66" t="s">
        <v>55</v>
      </c>
      <c r="E11" s="66" t="s">
        <v>56</v>
      </c>
      <c r="F11" s="66" t="s">
        <v>57</v>
      </c>
      <c r="G11" s="66" t="s">
        <v>58</v>
      </c>
      <c r="H11" s="66" t="s">
        <v>56</v>
      </c>
      <c r="I11" s="66" t="s">
        <v>57</v>
      </c>
      <c r="J11" s="66" t="s">
        <v>58</v>
      </c>
    </row>
    <row r="12" spans="2:12" x14ac:dyDescent="0.25">
      <c r="B12" s="66" t="s">
        <v>59</v>
      </c>
      <c r="C12" s="143" t="s">
        <v>60</v>
      </c>
      <c r="D12" s="144">
        <v>36</v>
      </c>
      <c r="E12" s="143">
        <v>0.1</v>
      </c>
      <c r="F12" s="143">
        <v>0.2</v>
      </c>
      <c r="G12" s="143">
        <v>0.15</v>
      </c>
      <c r="H12" s="143">
        <v>0.05</v>
      </c>
      <c r="I12" s="143">
        <v>0.05</v>
      </c>
      <c r="J12" s="143">
        <v>0.1</v>
      </c>
      <c r="K12" s="146">
        <f>(E12*C20+F12*C21+G12*C22)/D12+H12*C20+I12*C21+J12*C22</f>
        <v>344.44444444444446</v>
      </c>
    </row>
    <row r="13" spans="2:12" x14ac:dyDescent="0.25">
      <c r="B13" s="66" t="s">
        <v>61</v>
      </c>
      <c r="C13" s="143"/>
      <c r="D13" s="145"/>
      <c r="E13" s="143"/>
      <c r="F13" s="143"/>
      <c r="G13" s="143"/>
      <c r="H13" s="143"/>
      <c r="I13" s="143"/>
      <c r="J13" s="143"/>
      <c r="K13" s="146"/>
    </row>
    <row r="19" spans="1:3" x14ac:dyDescent="0.25">
      <c r="A19" s="66"/>
      <c r="B19" s="66"/>
      <c r="C19" s="66" t="s">
        <v>62</v>
      </c>
    </row>
    <row r="20" spans="1:3" x14ac:dyDescent="0.25">
      <c r="A20" s="66" t="s">
        <v>50</v>
      </c>
      <c r="B20" s="66" t="s">
        <v>56</v>
      </c>
      <c r="C20" s="66">
        <v>1000</v>
      </c>
    </row>
    <row r="21" spans="1:3" x14ac:dyDescent="0.25">
      <c r="A21" s="66" t="s">
        <v>50</v>
      </c>
      <c r="B21" s="66" t="s">
        <v>57</v>
      </c>
      <c r="C21" s="66">
        <v>1500</v>
      </c>
    </row>
    <row r="22" spans="1:3" x14ac:dyDescent="0.25">
      <c r="A22" s="66" t="s">
        <v>50</v>
      </c>
      <c r="B22" s="66" t="s">
        <v>58</v>
      </c>
      <c r="C22" s="66">
        <v>2000</v>
      </c>
    </row>
    <row r="23" spans="1:3" x14ac:dyDescent="0.25">
      <c r="A23" s="66" t="s">
        <v>51</v>
      </c>
      <c r="B23" s="66" t="s">
        <v>56</v>
      </c>
      <c r="C23" s="66"/>
    </row>
    <row r="24" spans="1:3" x14ac:dyDescent="0.25">
      <c r="A24" s="66" t="s">
        <v>51</v>
      </c>
      <c r="B24" s="66" t="s">
        <v>56</v>
      </c>
      <c r="C24" s="66"/>
    </row>
    <row r="25" spans="1:3" x14ac:dyDescent="0.25">
      <c r="A25" s="66" t="s">
        <v>51</v>
      </c>
      <c r="B25" s="66" t="s">
        <v>56</v>
      </c>
      <c r="C25" s="66"/>
    </row>
  </sheetData>
  <mergeCells count="13">
    <mergeCell ref="K12:K13"/>
    <mergeCell ref="E9:K9"/>
    <mergeCell ref="I1:J1"/>
    <mergeCell ref="E10:G10"/>
    <mergeCell ref="H10:J10"/>
    <mergeCell ref="C12:C13"/>
    <mergeCell ref="E12:E13"/>
    <mergeCell ref="F12:F13"/>
    <mergeCell ref="G12:G13"/>
    <mergeCell ref="H12:H13"/>
    <mergeCell ref="I12:I13"/>
    <mergeCell ref="J12:J13"/>
    <mergeCell ref="D12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0C00-5247-4C87-995F-F69CD85EF74D}">
  <dimension ref="B2:R66"/>
  <sheetViews>
    <sheetView workbookViewId="0">
      <selection activeCell="E24" sqref="E24:E28"/>
    </sheetView>
  </sheetViews>
  <sheetFormatPr defaultRowHeight="16.5" x14ac:dyDescent="0.25"/>
  <cols>
    <col min="2" max="2" width="75.9609375" customWidth="1"/>
    <col min="3" max="3" width="16.02734375" customWidth="1"/>
    <col min="4" max="4" width="11.21875" customWidth="1"/>
    <col min="5" max="5" width="18.86328125" customWidth="1"/>
    <col min="6" max="18" width="19.11328125" customWidth="1"/>
  </cols>
  <sheetData>
    <row r="2" spans="2:18" ht="21" x14ac:dyDescent="0.3">
      <c r="B2" s="148" t="s">
        <v>63</v>
      </c>
      <c r="C2" s="148"/>
      <c r="D2" s="148"/>
      <c r="E2" s="148"/>
      <c r="F2" s="148"/>
      <c r="G2" s="148"/>
      <c r="H2" s="148"/>
      <c r="I2" s="148"/>
      <c r="J2" s="148"/>
      <c r="K2" s="148"/>
    </row>
    <row r="3" spans="2:18" x14ac:dyDescent="0.25">
      <c r="B3" s="149"/>
      <c r="C3" s="150"/>
      <c r="D3" s="147" t="s">
        <v>64</v>
      </c>
      <c r="E3" s="147"/>
      <c r="F3" s="147"/>
      <c r="G3" s="147"/>
      <c r="H3" s="147"/>
      <c r="I3" s="147"/>
      <c r="J3" s="155"/>
      <c r="K3" s="156"/>
    </row>
    <row r="4" spans="2:18" x14ac:dyDescent="0.25">
      <c r="B4" s="151"/>
      <c r="C4" s="152"/>
      <c r="D4" s="77"/>
      <c r="E4" s="78" t="s">
        <v>65</v>
      </c>
      <c r="F4" s="82"/>
      <c r="G4" s="82" t="s">
        <v>66</v>
      </c>
      <c r="H4" s="86"/>
      <c r="I4" s="86" t="s">
        <v>67</v>
      </c>
      <c r="J4" s="157"/>
      <c r="K4" s="158"/>
    </row>
    <row r="5" spans="2:18" x14ac:dyDescent="0.25">
      <c r="B5" s="153"/>
      <c r="C5" s="154"/>
      <c r="D5" s="79" t="s">
        <v>68</v>
      </c>
      <c r="E5" s="80">
        <v>12000</v>
      </c>
      <c r="F5" s="83"/>
      <c r="G5" s="83">
        <v>24000</v>
      </c>
      <c r="H5" s="87"/>
      <c r="I5" s="87">
        <v>18000</v>
      </c>
      <c r="J5" s="159"/>
      <c r="K5" s="160"/>
    </row>
    <row r="6" spans="2:18" x14ac:dyDescent="0.25">
      <c r="B6" s="92" t="s">
        <v>69</v>
      </c>
      <c r="C6" s="92" t="s">
        <v>70</v>
      </c>
      <c r="D6" s="77" t="s">
        <v>71</v>
      </c>
      <c r="E6" s="77" t="s">
        <v>72</v>
      </c>
      <c r="F6" s="85" t="s">
        <v>71</v>
      </c>
      <c r="G6" s="85" t="s">
        <v>72</v>
      </c>
      <c r="H6" s="89" t="s">
        <v>71</v>
      </c>
      <c r="I6" s="89" t="s">
        <v>72</v>
      </c>
      <c r="J6" s="90" t="s">
        <v>73</v>
      </c>
      <c r="K6" s="90" t="s">
        <v>74</v>
      </c>
    </row>
    <row r="7" spans="2:18" x14ac:dyDescent="0.25">
      <c r="B7" s="92" t="s">
        <v>75</v>
      </c>
      <c r="C7" s="92">
        <v>60</v>
      </c>
      <c r="D7" s="81">
        <v>0</v>
      </c>
      <c r="E7" s="77">
        <v>0</v>
      </c>
      <c r="F7" s="84">
        <v>0.1</v>
      </c>
      <c r="G7" s="85">
        <v>1</v>
      </c>
      <c r="H7" s="88">
        <v>0.4</v>
      </c>
      <c r="I7" s="89">
        <v>5</v>
      </c>
      <c r="J7" s="91">
        <f>IFERROR(D7*$E$5/E7/12,0)+IFERROR(F7*$G$5/G7/12,0)+IFERROR(H7*$I$5/I7/12,0)</f>
        <v>320</v>
      </c>
      <c r="K7" s="91">
        <f>J7/C7</f>
        <v>5.333333333333333</v>
      </c>
    </row>
    <row r="8" spans="2:18" x14ac:dyDescent="0.25">
      <c r="B8" s="92" t="s">
        <v>76</v>
      </c>
      <c r="C8" s="92">
        <v>60</v>
      </c>
      <c r="D8" s="81">
        <v>0</v>
      </c>
      <c r="E8" s="77">
        <v>0</v>
      </c>
      <c r="F8" s="84">
        <v>0.1</v>
      </c>
      <c r="G8" s="85">
        <v>1</v>
      </c>
      <c r="H8" s="88">
        <v>0.2</v>
      </c>
      <c r="I8" s="89">
        <v>2</v>
      </c>
      <c r="J8" s="91">
        <f>IFERROR(D8*$E$5/E8/12,0)+IFERROR(F8*$G$5/G8/12,0)+IFERROR(H8*$I$5/I8/12,0)</f>
        <v>350</v>
      </c>
      <c r="K8" s="91">
        <f>J8/C8</f>
        <v>5.833333333333333</v>
      </c>
    </row>
    <row r="9" spans="2:18" x14ac:dyDescent="0.25">
      <c r="B9" s="92" t="s">
        <v>77</v>
      </c>
      <c r="C9" s="92">
        <v>60</v>
      </c>
      <c r="D9" s="81">
        <v>0</v>
      </c>
      <c r="E9" s="77">
        <v>0</v>
      </c>
      <c r="F9" s="84">
        <v>0.05</v>
      </c>
      <c r="G9" s="85">
        <v>0</v>
      </c>
      <c r="H9" s="88">
        <v>0.2</v>
      </c>
      <c r="I9" s="89">
        <v>2</v>
      </c>
      <c r="J9" s="91">
        <f>IFERROR(D9*$E$5/E9/12,0)+IFERROR(F9*$G$5/G9/12,0)+IFERROR(H9*$I$5/I9/12,0)</f>
        <v>150</v>
      </c>
      <c r="K9" s="91">
        <f>J9/C9</f>
        <v>2.5</v>
      </c>
    </row>
    <row r="10" spans="2:18" x14ac:dyDescent="0.25">
      <c r="B10" s="92" t="s">
        <v>78</v>
      </c>
      <c r="C10" s="92">
        <v>48</v>
      </c>
      <c r="D10" s="77">
        <v>0.35</v>
      </c>
      <c r="E10" s="77">
        <v>24</v>
      </c>
      <c r="F10" s="84">
        <v>0.4</v>
      </c>
      <c r="G10" s="85">
        <v>30</v>
      </c>
      <c r="H10" s="88">
        <v>0.1</v>
      </c>
      <c r="I10" s="89">
        <v>10</v>
      </c>
      <c r="J10" s="91">
        <f>IFERROR(D10*$E$5/E10/12,0)+IFERROR(F10*$G$5/G10/12,0)+IFERROR(H10*$I$5/I10/12,0)</f>
        <v>56.25</v>
      </c>
      <c r="K10" s="91">
        <f>J10/C10</f>
        <v>1.171875</v>
      </c>
    </row>
    <row r="11" spans="2:18" x14ac:dyDescent="0.25">
      <c r="B11" s="92" t="s">
        <v>79</v>
      </c>
      <c r="C11" s="92">
        <v>36</v>
      </c>
      <c r="D11" s="77">
        <v>0.5</v>
      </c>
      <c r="E11" s="77">
        <v>50</v>
      </c>
      <c r="F11" s="85">
        <v>0.2</v>
      </c>
      <c r="G11" s="85">
        <v>15</v>
      </c>
      <c r="H11" s="89">
        <v>0.05</v>
      </c>
      <c r="I11" s="89">
        <v>10</v>
      </c>
      <c r="J11" s="91">
        <f>IFERROR(D11*$E$5/E11/12,0)+IFERROR(F11*$G$5/G11/12,0)+IFERROR(H11*$I$5/I11/12,0)</f>
        <v>44.166666666666671</v>
      </c>
      <c r="K11" s="91">
        <f>J11/C11</f>
        <v>1.2268518518518521</v>
      </c>
    </row>
    <row r="12" spans="2:18" x14ac:dyDescent="0.25">
      <c r="B12" s="92" t="s">
        <v>80</v>
      </c>
      <c r="C12" s="92">
        <v>24</v>
      </c>
      <c r="D12" s="77">
        <v>0.1</v>
      </c>
      <c r="E12" s="77">
        <v>12</v>
      </c>
      <c r="F12" s="85">
        <v>0.1</v>
      </c>
      <c r="G12" s="85">
        <v>12</v>
      </c>
      <c r="H12" s="89">
        <v>0.02</v>
      </c>
      <c r="I12" s="89">
        <v>3</v>
      </c>
      <c r="J12" s="91">
        <f>IFERROR(D12*$E$5/E12/12,0)+IFERROR(F12*$G$5/G12/12,0)+IFERROR(H12*$I$5/I12/12,0)</f>
        <v>35</v>
      </c>
      <c r="K12" s="91">
        <f>J12/C12</f>
        <v>1.4583333333333333</v>
      </c>
    </row>
    <row r="13" spans="2:18" x14ac:dyDescent="0.25">
      <c r="B13" s="97" t="s">
        <v>81</v>
      </c>
      <c r="C13" s="97">
        <v>1</v>
      </c>
      <c r="D13" s="98">
        <f>1-SUM(D7:D12)</f>
        <v>5.0000000000000044E-2</v>
      </c>
      <c r="E13" s="99">
        <v>3</v>
      </c>
      <c r="F13" s="100">
        <f>1-SUM(F7:F12)</f>
        <v>4.9999999999999933E-2</v>
      </c>
      <c r="G13" s="101">
        <v>3</v>
      </c>
      <c r="H13" s="102">
        <f>1-SUM(H7:H12)</f>
        <v>2.9999999999999916E-2</v>
      </c>
      <c r="I13" s="103">
        <v>3</v>
      </c>
      <c r="J13" s="104">
        <f>IFERROR(D13*$E$5/E13/12,0)+IFERROR(F13*$G$5/G13/12,0)+IFERROR(H13*$I$5/I13/12,0)</f>
        <v>64.999999999999929</v>
      </c>
      <c r="K13" s="104">
        <f>J13/C13</f>
        <v>64.999999999999929</v>
      </c>
    </row>
    <row r="14" spans="2:18" x14ac:dyDescent="0.25">
      <c r="B14" s="92" t="s">
        <v>82</v>
      </c>
      <c r="C14" s="92" t="s">
        <v>82</v>
      </c>
      <c r="D14" s="77" t="s">
        <v>82</v>
      </c>
      <c r="E14" s="77" t="s">
        <v>82</v>
      </c>
      <c r="F14" s="85" t="s">
        <v>82</v>
      </c>
      <c r="G14" s="85" t="s">
        <v>82</v>
      </c>
      <c r="H14" s="89" t="s">
        <v>82</v>
      </c>
      <c r="I14" s="89" t="s">
        <v>82</v>
      </c>
      <c r="J14" s="96" t="s">
        <v>82</v>
      </c>
      <c r="K14" s="96" t="s">
        <v>82</v>
      </c>
    </row>
    <row r="16" spans="2:18" x14ac:dyDescent="0.25">
      <c r="R16" t="s">
        <v>51</v>
      </c>
    </row>
    <row r="17" spans="2:14" ht="21" x14ac:dyDescent="0.3">
      <c r="B17" s="167" t="s">
        <v>83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</row>
    <row r="18" spans="2:14" x14ac:dyDescent="0.25">
      <c r="B18" s="166"/>
      <c r="C18" s="166"/>
      <c r="D18" s="166"/>
      <c r="E18" s="162" t="s">
        <v>50</v>
      </c>
      <c r="F18" s="162"/>
      <c r="G18" s="162"/>
      <c r="H18" s="162"/>
      <c r="I18" s="162"/>
      <c r="J18" s="162"/>
      <c r="K18" s="163" t="s">
        <v>51</v>
      </c>
      <c r="L18" s="163"/>
      <c r="M18" s="90"/>
      <c r="N18" s="90"/>
    </row>
    <row r="19" spans="2:14" x14ac:dyDescent="0.25">
      <c r="B19" s="105"/>
      <c r="C19" s="105"/>
      <c r="D19" s="105"/>
      <c r="E19" s="77" t="s">
        <v>84</v>
      </c>
      <c r="F19" s="77" t="s">
        <v>85</v>
      </c>
      <c r="G19" s="77" t="s">
        <v>86</v>
      </c>
      <c r="H19" s="77" t="s">
        <v>87</v>
      </c>
      <c r="I19" s="77" t="s">
        <v>88</v>
      </c>
      <c r="J19" s="77" t="s">
        <v>89</v>
      </c>
      <c r="K19" s="85" t="s">
        <v>90</v>
      </c>
      <c r="L19" s="85" t="s">
        <v>91</v>
      </c>
      <c r="M19" s="90"/>
      <c r="N19" s="90"/>
    </row>
    <row r="20" spans="2:14" x14ac:dyDescent="0.25">
      <c r="B20" s="105"/>
      <c r="C20" s="105"/>
      <c r="D20" s="105" t="s">
        <v>92</v>
      </c>
      <c r="E20" s="110">
        <v>12000</v>
      </c>
      <c r="F20" s="110">
        <v>10000</v>
      </c>
      <c r="G20" s="110">
        <v>8000</v>
      </c>
      <c r="H20" s="110">
        <v>4000</v>
      </c>
      <c r="I20" s="110">
        <v>4000</v>
      </c>
      <c r="J20" s="110">
        <v>4000</v>
      </c>
      <c r="K20" s="111">
        <v>3000</v>
      </c>
      <c r="L20" s="111">
        <v>4000</v>
      </c>
      <c r="M20" s="96" t="s">
        <v>93</v>
      </c>
      <c r="N20" s="96" t="s">
        <v>94</v>
      </c>
    </row>
    <row r="21" spans="2:14" x14ac:dyDescent="0.25">
      <c r="B21" s="94" t="s">
        <v>95</v>
      </c>
      <c r="C21" s="94" t="s">
        <v>54</v>
      </c>
      <c r="D21" s="94" t="s">
        <v>55</v>
      </c>
      <c r="E21" s="112" t="s">
        <v>71</v>
      </c>
      <c r="F21" s="112" t="s">
        <v>71</v>
      </c>
      <c r="G21" s="112" t="s">
        <v>71</v>
      </c>
      <c r="H21" s="112" t="s">
        <v>71</v>
      </c>
      <c r="I21" s="112" t="s">
        <v>71</v>
      </c>
      <c r="J21" s="112" t="s">
        <v>71</v>
      </c>
      <c r="K21" s="113" t="s">
        <v>71</v>
      </c>
      <c r="L21" s="113" t="s">
        <v>71</v>
      </c>
      <c r="M21" s="122"/>
      <c r="N21" s="122"/>
    </row>
    <row r="22" spans="2:14" x14ac:dyDescent="0.25">
      <c r="B22" s="94" t="s">
        <v>59</v>
      </c>
      <c r="C22" s="165" t="s">
        <v>60</v>
      </c>
      <c r="D22" s="165">
        <v>48</v>
      </c>
      <c r="E22" s="162">
        <v>0.05</v>
      </c>
      <c r="F22" s="162">
        <v>0.05</v>
      </c>
      <c r="G22" s="162">
        <v>0.7</v>
      </c>
      <c r="H22" s="162">
        <v>0.05</v>
      </c>
      <c r="I22" s="162">
        <v>0.05</v>
      </c>
      <c r="J22" s="162">
        <f>1-SUM(E22:I23)</f>
        <v>9.9999999999999978E-2</v>
      </c>
      <c r="K22" s="163">
        <v>0.3</v>
      </c>
      <c r="L22" s="164">
        <v>0.7</v>
      </c>
      <c r="M22" s="161">
        <f>E22*$E$20+F22*$F$20+G22*$G$20+H22*$H$20+I22*$I$20+J22*$J$20+K22*$K$20+L22*$L$20</f>
        <v>11200</v>
      </c>
      <c r="N22" s="161">
        <f>M22/D22</f>
        <v>233.33333333333334</v>
      </c>
    </row>
    <row r="23" spans="2:14" x14ac:dyDescent="0.25">
      <c r="B23" s="94" t="s">
        <v>61</v>
      </c>
      <c r="C23" s="165"/>
      <c r="D23" s="165"/>
      <c r="E23" s="162"/>
      <c r="F23" s="162"/>
      <c r="G23" s="162"/>
      <c r="H23" s="162"/>
      <c r="I23" s="162"/>
      <c r="J23" s="162"/>
      <c r="K23" s="163"/>
      <c r="L23" s="164"/>
      <c r="M23" s="161"/>
      <c r="N23" s="161"/>
    </row>
    <row r="24" spans="2:14" x14ac:dyDescent="0.25">
      <c r="B24" s="94" t="s">
        <v>96</v>
      </c>
      <c r="C24" s="165" t="s">
        <v>97</v>
      </c>
      <c r="D24" s="165">
        <v>60</v>
      </c>
      <c r="E24" s="162">
        <v>0.6</v>
      </c>
      <c r="F24" s="162">
        <v>0</v>
      </c>
      <c r="G24" s="162">
        <v>0.1</v>
      </c>
      <c r="H24" s="162">
        <v>0.1</v>
      </c>
      <c r="I24" s="162">
        <v>0.1</v>
      </c>
      <c r="J24" s="162">
        <v>0.1</v>
      </c>
      <c r="K24" s="163">
        <v>0.3</v>
      </c>
      <c r="L24" s="164">
        <v>0.7</v>
      </c>
      <c r="M24" s="161">
        <f t="shared" ref="M24" si="0">E24*$E$20+F24*$F$20+G24*$G$20+H24*$H$20+I24*$I$20+J24*$J$20+K24*$K$20+L24*$L$20</f>
        <v>12900</v>
      </c>
      <c r="N24" s="161">
        <f>M24/D24</f>
        <v>215</v>
      </c>
    </row>
    <row r="25" spans="2:14" x14ac:dyDescent="0.25">
      <c r="B25" s="95" t="s">
        <v>98</v>
      </c>
      <c r="C25" s="165"/>
      <c r="D25" s="165"/>
      <c r="E25" s="162"/>
      <c r="F25" s="162"/>
      <c r="G25" s="162"/>
      <c r="H25" s="162"/>
      <c r="I25" s="162"/>
      <c r="J25" s="162"/>
      <c r="K25" s="163"/>
      <c r="L25" s="164"/>
      <c r="M25" s="161"/>
      <c r="N25" s="161"/>
    </row>
    <row r="26" spans="2:14" x14ac:dyDescent="0.25">
      <c r="B26" s="95" t="s">
        <v>99</v>
      </c>
      <c r="C26" s="165"/>
      <c r="D26" s="165"/>
      <c r="E26" s="162"/>
      <c r="F26" s="162"/>
      <c r="G26" s="162"/>
      <c r="H26" s="162"/>
      <c r="I26" s="162"/>
      <c r="J26" s="162"/>
      <c r="K26" s="163"/>
      <c r="L26" s="164"/>
      <c r="M26" s="161"/>
      <c r="N26" s="161"/>
    </row>
    <row r="27" spans="2:14" x14ac:dyDescent="0.25">
      <c r="B27" s="95" t="s">
        <v>100</v>
      </c>
      <c r="C27" s="165"/>
      <c r="D27" s="165"/>
      <c r="E27" s="162"/>
      <c r="F27" s="162"/>
      <c r="G27" s="162"/>
      <c r="H27" s="162"/>
      <c r="I27" s="162"/>
      <c r="J27" s="162"/>
      <c r="K27" s="163"/>
      <c r="L27" s="164"/>
      <c r="M27" s="161"/>
      <c r="N27" s="161"/>
    </row>
    <row r="28" spans="2:14" x14ac:dyDescent="0.25">
      <c r="B28" s="95" t="s">
        <v>101</v>
      </c>
      <c r="C28" s="165"/>
      <c r="D28" s="165"/>
      <c r="E28" s="162"/>
      <c r="F28" s="162"/>
      <c r="G28" s="162"/>
      <c r="H28" s="162"/>
      <c r="I28" s="162"/>
      <c r="J28" s="162"/>
      <c r="K28" s="163"/>
      <c r="L28" s="164"/>
      <c r="M28" s="161"/>
      <c r="N28" s="161"/>
    </row>
    <row r="29" spans="2:14" x14ac:dyDescent="0.25">
      <c r="B29" s="95" t="s">
        <v>102</v>
      </c>
      <c r="C29" s="168" t="s">
        <v>103</v>
      </c>
      <c r="D29" s="165">
        <v>48</v>
      </c>
      <c r="E29" s="172">
        <v>0.6</v>
      </c>
      <c r="F29" s="172">
        <v>0</v>
      </c>
      <c r="G29" s="162">
        <v>0.1</v>
      </c>
      <c r="H29" s="162">
        <v>0.1</v>
      </c>
      <c r="I29" s="162">
        <v>0.1</v>
      </c>
      <c r="J29" s="162">
        <v>0.1</v>
      </c>
      <c r="K29" s="163">
        <v>0.5</v>
      </c>
      <c r="L29" s="164">
        <v>0.5</v>
      </c>
      <c r="M29" s="161">
        <f>E29*E20+F29*F20+G29*G20+H29*H20+I29*I20+J29*J20+K29*K20+L29*L20</f>
        <v>12700</v>
      </c>
      <c r="N29" s="161">
        <f>M29/D29</f>
        <v>264.58333333333331</v>
      </c>
    </row>
    <row r="30" spans="2:14" x14ac:dyDescent="0.25">
      <c r="B30" s="95" t="s">
        <v>104</v>
      </c>
      <c r="C30" s="168"/>
      <c r="D30" s="165"/>
      <c r="E30" s="173"/>
      <c r="F30" s="173"/>
      <c r="G30" s="162"/>
      <c r="H30" s="162"/>
      <c r="I30" s="162"/>
      <c r="J30" s="162"/>
      <c r="K30" s="163"/>
      <c r="L30" s="164"/>
      <c r="M30" s="161"/>
      <c r="N30" s="161"/>
    </row>
    <row r="31" spans="2:14" x14ac:dyDescent="0.25">
      <c r="B31" s="94" t="s">
        <v>105</v>
      </c>
      <c r="C31" s="168"/>
      <c r="D31" s="165"/>
      <c r="E31" s="173"/>
      <c r="F31" s="173"/>
      <c r="G31" s="162"/>
      <c r="H31" s="162"/>
      <c r="I31" s="162"/>
      <c r="J31" s="162"/>
      <c r="K31" s="163"/>
      <c r="L31" s="164"/>
      <c r="M31" s="161"/>
      <c r="N31" s="161"/>
    </row>
    <row r="32" spans="2:14" x14ac:dyDescent="0.25">
      <c r="B32" s="95" t="s">
        <v>106</v>
      </c>
      <c r="C32" s="168"/>
      <c r="D32" s="165"/>
      <c r="E32" s="173"/>
      <c r="F32" s="173"/>
      <c r="G32" s="162"/>
      <c r="H32" s="162"/>
      <c r="I32" s="162"/>
      <c r="J32" s="162"/>
      <c r="K32" s="163"/>
      <c r="L32" s="164"/>
      <c r="M32" s="161"/>
      <c r="N32" s="161"/>
    </row>
    <row r="33" spans="2:14" x14ac:dyDescent="0.25">
      <c r="B33" s="95" t="s">
        <v>107</v>
      </c>
      <c r="C33" s="168"/>
      <c r="D33" s="165"/>
      <c r="E33" s="174"/>
      <c r="F33" s="174"/>
      <c r="G33" s="162"/>
      <c r="H33" s="162"/>
      <c r="I33" s="162"/>
      <c r="J33" s="162"/>
      <c r="K33" s="163"/>
      <c r="L33" s="164"/>
      <c r="M33" s="161"/>
      <c r="N33" s="161"/>
    </row>
    <row r="34" spans="2:14" x14ac:dyDescent="0.25">
      <c r="B34" s="117" t="s">
        <v>82</v>
      </c>
      <c r="C34" s="117" t="s">
        <v>82</v>
      </c>
      <c r="D34" s="117" t="s">
        <v>82</v>
      </c>
      <c r="E34" s="114" t="s">
        <v>82</v>
      </c>
      <c r="F34" s="114" t="s">
        <v>82</v>
      </c>
      <c r="G34" s="114" t="s">
        <v>82</v>
      </c>
      <c r="H34" s="114" t="s">
        <v>82</v>
      </c>
      <c r="I34" s="114" t="s">
        <v>82</v>
      </c>
      <c r="J34" s="114" t="s">
        <v>82</v>
      </c>
      <c r="K34" s="115" t="s">
        <v>82</v>
      </c>
      <c r="L34" s="116" t="s">
        <v>82</v>
      </c>
      <c r="M34" s="118" t="s">
        <v>82</v>
      </c>
      <c r="N34" s="118" t="s">
        <v>82</v>
      </c>
    </row>
    <row r="35" spans="2:14" x14ac:dyDescent="0.25">
      <c r="B35" s="93"/>
      <c r="D35" s="65"/>
      <c r="E35" s="65"/>
      <c r="F35" s="65"/>
      <c r="G35" s="65"/>
      <c r="H35" s="65"/>
      <c r="I35" s="65"/>
      <c r="J35" s="65"/>
      <c r="K35" s="65"/>
    </row>
    <row r="36" spans="2:14" x14ac:dyDescent="0.25">
      <c r="B36" s="93"/>
      <c r="D36" s="65"/>
      <c r="E36" s="65"/>
      <c r="F36" s="65"/>
      <c r="G36" s="65"/>
      <c r="H36" s="65"/>
      <c r="I36" s="65"/>
      <c r="J36" s="65"/>
      <c r="K36" s="65"/>
    </row>
    <row r="37" spans="2:14" ht="21" x14ac:dyDescent="0.3">
      <c r="B37" s="148" t="s">
        <v>108</v>
      </c>
      <c r="C37" s="148"/>
      <c r="D37" s="148"/>
      <c r="E37" s="148"/>
      <c r="F37" s="148"/>
      <c r="G37" s="148"/>
      <c r="H37" s="148"/>
    </row>
    <row r="38" spans="2:14" x14ac:dyDescent="0.25">
      <c r="B38" s="92" t="s">
        <v>109</v>
      </c>
      <c r="C38" s="119">
        <v>10000</v>
      </c>
      <c r="D38" s="149"/>
      <c r="E38" s="169"/>
      <c r="F38" s="169"/>
      <c r="G38" s="169"/>
      <c r="H38" s="150"/>
    </row>
    <row r="39" spans="2:14" x14ac:dyDescent="0.25">
      <c r="B39" s="92" t="s">
        <v>110</v>
      </c>
      <c r="C39" s="119">
        <v>10000</v>
      </c>
      <c r="D39" s="151"/>
      <c r="E39" s="170"/>
      <c r="F39" s="170"/>
      <c r="G39" s="170"/>
      <c r="H39" s="152"/>
    </row>
    <row r="40" spans="2:14" x14ac:dyDescent="0.25">
      <c r="B40" s="92" t="s">
        <v>111</v>
      </c>
      <c r="C40" s="119">
        <v>10000</v>
      </c>
      <c r="D40" s="151"/>
      <c r="E40" s="170"/>
      <c r="F40" s="170"/>
      <c r="G40" s="170"/>
      <c r="H40" s="152"/>
    </row>
    <row r="41" spans="2:14" x14ac:dyDescent="0.25">
      <c r="B41" s="92" t="s">
        <v>112</v>
      </c>
      <c r="C41" s="119">
        <v>10000</v>
      </c>
      <c r="D41" s="151"/>
      <c r="E41" s="170"/>
      <c r="F41" s="170"/>
      <c r="G41" s="170"/>
      <c r="H41" s="152"/>
    </row>
    <row r="42" spans="2:14" x14ac:dyDescent="0.25">
      <c r="B42" s="92" t="s">
        <v>113</v>
      </c>
      <c r="C42" s="119">
        <v>10000</v>
      </c>
      <c r="D42" s="151"/>
      <c r="E42" s="170"/>
      <c r="F42" s="170"/>
      <c r="G42" s="170"/>
      <c r="H42" s="152"/>
    </row>
    <row r="43" spans="2:14" x14ac:dyDescent="0.25">
      <c r="B43" s="92" t="s">
        <v>114</v>
      </c>
      <c r="C43" s="119">
        <v>10000</v>
      </c>
      <c r="D43" s="151"/>
      <c r="E43" s="170"/>
      <c r="F43" s="170"/>
      <c r="G43" s="170"/>
      <c r="H43" s="152"/>
    </row>
    <row r="44" spans="2:14" x14ac:dyDescent="0.25">
      <c r="B44" s="92" t="s">
        <v>115</v>
      </c>
      <c r="C44" s="119">
        <v>10000</v>
      </c>
      <c r="D44" s="151"/>
      <c r="E44" s="170"/>
      <c r="F44" s="170"/>
      <c r="G44" s="170"/>
      <c r="H44" s="152"/>
    </row>
    <row r="45" spans="2:14" x14ac:dyDescent="0.25">
      <c r="B45" s="92" t="s">
        <v>116</v>
      </c>
      <c r="C45" s="119">
        <v>10000</v>
      </c>
      <c r="D45" s="151"/>
      <c r="E45" s="170"/>
      <c r="F45" s="170"/>
      <c r="G45" s="170"/>
      <c r="H45" s="152"/>
    </row>
    <row r="46" spans="2:14" x14ac:dyDescent="0.25">
      <c r="B46" s="92" t="s">
        <v>117</v>
      </c>
      <c r="C46" s="119">
        <v>10000</v>
      </c>
      <c r="D46" s="151"/>
      <c r="E46" s="170"/>
      <c r="F46" s="170"/>
      <c r="G46" s="170"/>
      <c r="H46" s="152"/>
    </row>
    <row r="47" spans="2:14" x14ac:dyDescent="0.25">
      <c r="B47" s="92" t="s">
        <v>118</v>
      </c>
      <c r="C47" s="119">
        <v>10000</v>
      </c>
      <c r="D47" s="151"/>
      <c r="E47" s="170"/>
      <c r="F47" s="170"/>
      <c r="G47" s="170"/>
      <c r="H47" s="152"/>
    </row>
    <row r="48" spans="2:14" x14ac:dyDescent="0.25">
      <c r="B48" s="92" t="s">
        <v>119</v>
      </c>
      <c r="C48" s="119">
        <v>10000</v>
      </c>
      <c r="D48" s="151"/>
      <c r="E48" s="170"/>
      <c r="F48" s="170"/>
      <c r="G48" s="170"/>
      <c r="H48" s="152"/>
    </row>
    <row r="49" spans="2:8" x14ac:dyDescent="0.25">
      <c r="B49" s="92" t="s">
        <v>120</v>
      </c>
      <c r="C49" s="119">
        <v>10000</v>
      </c>
      <c r="D49" s="151"/>
      <c r="E49" s="170"/>
      <c r="F49" s="170"/>
      <c r="G49" s="170"/>
      <c r="H49" s="152"/>
    </row>
    <row r="50" spans="2:8" x14ac:dyDescent="0.25">
      <c r="B50" s="92" t="s">
        <v>121</v>
      </c>
      <c r="C50" s="119">
        <v>10000</v>
      </c>
      <c r="D50" s="151"/>
      <c r="E50" s="170"/>
      <c r="F50" s="170"/>
      <c r="G50" s="170"/>
      <c r="H50" s="152"/>
    </row>
    <row r="51" spans="2:8" x14ac:dyDescent="0.25">
      <c r="B51" s="92" t="s">
        <v>122</v>
      </c>
      <c r="C51" s="119">
        <v>10000</v>
      </c>
      <c r="D51" s="151"/>
      <c r="E51" s="170"/>
      <c r="F51" s="170"/>
      <c r="G51" s="170"/>
      <c r="H51" s="152"/>
    </row>
    <row r="52" spans="2:8" x14ac:dyDescent="0.25">
      <c r="B52" s="92" t="s">
        <v>123</v>
      </c>
      <c r="C52" s="119">
        <v>10000</v>
      </c>
      <c r="D52" s="151"/>
      <c r="E52" s="170"/>
      <c r="F52" s="170"/>
      <c r="G52" s="170"/>
      <c r="H52" s="152"/>
    </row>
    <row r="53" spans="2:8" x14ac:dyDescent="0.25">
      <c r="B53" s="92" t="s">
        <v>124</v>
      </c>
      <c r="C53" s="119">
        <v>10000</v>
      </c>
      <c r="D53" s="151"/>
      <c r="E53" s="170"/>
      <c r="F53" s="170"/>
      <c r="G53" s="170"/>
      <c r="H53" s="152"/>
    </row>
    <row r="54" spans="2:8" x14ac:dyDescent="0.25">
      <c r="B54" s="92" t="s">
        <v>125</v>
      </c>
      <c r="C54" s="119">
        <v>10000</v>
      </c>
      <c r="D54" s="151"/>
      <c r="E54" s="170"/>
      <c r="F54" s="170"/>
      <c r="G54" s="170"/>
      <c r="H54" s="152"/>
    </row>
    <row r="55" spans="2:8" x14ac:dyDescent="0.25">
      <c r="B55" s="92" t="s">
        <v>126</v>
      </c>
      <c r="C55" s="119">
        <v>10000</v>
      </c>
      <c r="D55" s="151"/>
      <c r="E55" s="170"/>
      <c r="F55" s="170"/>
      <c r="G55" s="170"/>
      <c r="H55" s="152"/>
    </row>
    <row r="56" spans="2:8" x14ac:dyDescent="0.25">
      <c r="B56" s="92" t="s">
        <v>82</v>
      </c>
      <c r="C56" s="119" t="s">
        <v>82</v>
      </c>
      <c r="D56" s="151"/>
      <c r="E56" s="170"/>
      <c r="F56" s="170"/>
      <c r="G56" s="170"/>
      <c r="H56" s="152"/>
    </row>
    <row r="57" spans="2:8" x14ac:dyDescent="0.25">
      <c r="B57" s="90" t="s">
        <v>127</v>
      </c>
      <c r="C57" s="107">
        <f>SUM(C38:C55)</f>
        <v>180000</v>
      </c>
      <c r="D57" s="151"/>
      <c r="E57" s="170"/>
      <c r="F57" s="170"/>
      <c r="G57" s="170"/>
      <c r="H57" s="152"/>
    </row>
    <row r="58" spans="2:8" x14ac:dyDescent="0.25">
      <c r="B58" s="90" t="s">
        <v>128</v>
      </c>
      <c r="C58" s="107">
        <f>C57*12</f>
        <v>2160000</v>
      </c>
      <c r="D58" s="151"/>
      <c r="E58" s="170"/>
      <c r="F58" s="170"/>
      <c r="G58" s="170"/>
      <c r="H58" s="152"/>
    </row>
    <row r="59" spans="2:8" x14ac:dyDescent="0.25">
      <c r="B59" s="149"/>
      <c r="C59" s="150"/>
      <c r="D59" s="151"/>
      <c r="E59" s="170"/>
      <c r="F59" s="170"/>
      <c r="G59" s="170"/>
      <c r="H59" s="152"/>
    </row>
    <row r="60" spans="2:8" x14ac:dyDescent="0.25">
      <c r="B60" s="153"/>
      <c r="C60" s="154"/>
      <c r="D60" s="151"/>
      <c r="E60" s="170"/>
      <c r="F60" s="170"/>
      <c r="G60" s="170"/>
      <c r="H60" s="152"/>
    </row>
    <row r="61" spans="2:8" x14ac:dyDescent="0.25">
      <c r="B61" s="106" t="s">
        <v>129</v>
      </c>
      <c r="C61" s="121">
        <v>300000000</v>
      </c>
      <c r="D61" s="153"/>
      <c r="E61" s="171"/>
      <c r="F61" s="171"/>
      <c r="G61" s="171"/>
      <c r="H61" s="154"/>
    </row>
    <row r="62" spans="2:8" ht="30" x14ac:dyDescent="0.25">
      <c r="B62" s="90" t="s">
        <v>130</v>
      </c>
      <c r="C62" s="120">
        <v>50000000</v>
      </c>
      <c r="D62" s="108" t="s">
        <v>131</v>
      </c>
      <c r="E62" s="123" t="s">
        <v>132</v>
      </c>
      <c r="F62" s="106" t="s">
        <v>72</v>
      </c>
      <c r="G62" s="90" t="s">
        <v>133</v>
      </c>
      <c r="H62" s="90" t="s">
        <v>134</v>
      </c>
    </row>
    <row r="63" spans="2:8" x14ac:dyDescent="0.25">
      <c r="B63" s="90" t="s">
        <v>135</v>
      </c>
      <c r="C63" s="120">
        <v>15000000</v>
      </c>
      <c r="D63" s="108">
        <f>C63/C$62</f>
        <v>0.3</v>
      </c>
      <c r="E63" s="109">
        <f>$C$58*D63</f>
        <v>648000</v>
      </c>
      <c r="F63" s="106">
        <f>E10+E11+G10+G11+I10+I11</f>
        <v>139</v>
      </c>
      <c r="G63" s="107">
        <f>E63/F63</f>
        <v>4661.8705035971225</v>
      </c>
      <c r="H63" s="107">
        <f>G63/12</f>
        <v>388.48920863309354</v>
      </c>
    </row>
    <row r="64" spans="2:8" x14ac:dyDescent="0.25">
      <c r="B64" s="90" t="s">
        <v>136</v>
      </c>
      <c r="C64" s="120">
        <v>25000000</v>
      </c>
      <c r="D64" s="108">
        <f t="shared" ref="D64:D66" si="1">C64/C$62</f>
        <v>0.5</v>
      </c>
      <c r="E64" s="109">
        <f t="shared" ref="E64:E66" si="2">$C$58*D64</f>
        <v>1080000</v>
      </c>
      <c r="F64" s="106">
        <f>E7+E8+E9+G7+G8+G9+I7+I8+I9</f>
        <v>11</v>
      </c>
      <c r="G64" s="107">
        <f t="shared" ref="G64:G66" si="3">E64/F64</f>
        <v>98181.818181818177</v>
      </c>
      <c r="H64" s="107">
        <f t="shared" ref="H64:H66" si="4">G64/12</f>
        <v>8181.8181818181811</v>
      </c>
    </row>
    <row r="65" spans="2:8" x14ac:dyDescent="0.25">
      <c r="B65" s="90" t="s">
        <v>137</v>
      </c>
      <c r="C65" s="120">
        <v>6000000</v>
      </c>
      <c r="D65" s="108">
        <f t="shared" si="1"/>
        <v>0.12</v>
      </c>
      <c r="E65" s="109">
        <f t="shared" si="2"/>
        <v>259200</v>
      </c>
      <c r="F65" s="106">
        <f>E12+G12+I12</f>
        <v>27</v>
      </c>
      <c r="G65" s="107">
        <f t="shared" si="3"/>
        <v>9600</v>
      </c>
      <c r="H65" s="107">
        <f t="shared" si="4"/>
        <v>800</v>
      </c>
    </row>
    <row r="66" spans="2:8" x14ac:dyDescent="0.25">
      <c r="B66" s="90" t="s">
        <v>138</v>
      </c>
      <c r="C66" s="120">
        <v>4000000</v>
      </c>
      <c r="D66" s="108">
        <f t="shared" si="1"/>
        <v>0.08</v>
      </c>
      <c r="E66" s="109">
        <f t="shared" si="2"/>
        <v>172800</v>
      </c>
      <c r="F66" s="106">
        <f>E13+G13+I13</f>
        <v>9</v>
      </c>
      <c r="G66" s="107">
        <f t="shared" si="3"/>
        <v>19200</v>
      </c>
      <c r="H66" s="107">
        <f t="shared" si="4"/>
        <v>1600</v>
      </c>
    </row>
  </sheetData>
  <mergeCells count="47">
    <mergeCell ref="B37:H37"/>
    <mergeCell ref="D38:H61"/>
    <mergeCell ref="B59:C60"/>
    <mergeCell ref="M24:M28"/>
    <mergeCell ref="M29:M33"/>
    <mergeCell ref="D29:D33"/>
    <mergeCell ref="E29:E33"/>
    <mergeCell ref="F29:F33"/>
    <mergeCell ref="G29:G33"/>
    <mergeCell ref="B17:N17"/>
    <mergeCell ref="H29:H33"/>
    <mergeCell ref="I29:I33"/>
    <mergeCell ref="J29:J33"/>
    <mergeCell ref="K29:K33"/>
    <mergeCell ref="L29:L33"/>
    <mergeCell ref="C29:C33"/>
    <mergeCell ref="H24:H28"/>
    <mergeCell ref="I24:I28"/>
    <mergeCell ref="J24:J28"/>
    <mergeCell ref="K24:K28"/>
    <mergeCell ref="L24:L28"/>
    <mergeCell ref="D22:D23"/>
    <mergeCell ref="N22:N23"/>
    <mergeCell ref="N24:N28"/>
    <mergeCell ref="N29:N33"/>
    <mergeCell ref="B18:D18"/>
    <mergeCell ref="C24:C28"/>
    <mergeCell ref="D24:D28"/>
    <mergeCell ref="E24:E28"/>
    <mergeCell ref="F24:F28"/>
    <mergeCell ref="G24:G28"/>
    <mergeCell ref="D3:I3"/>
    <mergeCell ref="B2:K2"/>
    <mergeCell ref="B3:C5"/>
    <mergeCell ref="J3:K5"/>
    <mergeCell ref="M22:M23"/>
    <mergeCell ref="E18:J18"/>
    <mergeCell ref="H22:H23"/>
    <mergeCell ref="I22:I23"/>
    <mergeCell ref="J22:J23"/>
    <mergeCell ref="K22:K23"/>
    <mergeCell ref="L22:L23"/>
    <mergeCell ref="E22:E23"/>
    <mergeCell ref="F22:F23"/>
    <mergeCell ref="G22:G23"/>
    <mergeCell ref="K18:L18"/>
    <mergeCell ref="C22:C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3036-2EB3-456C-8663-C8B57249F0DF}">
  <dimension ref="A1:Q97"/>
  <sheetViews>
    <sheetView tabSelected="1" topLeftCell="G1" workbookViewId="0">
      <selection activeCell="K30" sqref="K30"/>
    </sheetView>
  </sheetViews>
  <sheetFormatPr defaultColWidth="9" defaultRowHeight="16.5" x14ac:dyDescent="0.25"/>
  <cols>
    <col min="1" max="1" width="47.2265625" customWidth="1"/>
    <col min="2" max="5" width="9" hidden="1" customWidth="1"/>
    <col min="16" max="16" width="78.671875" customWidth="1"/>
  </cols>
  <sheetData>
    <row r="1" spans="1:17" x14ac:dyDescent="0.25">
      <c r="A1" s="58"/>
      <c r="B1" s="129" t="s">
        <v>139</v>
      </c>
      <c r="C1" s="132" t="s">
        <v>140</v>
      </c>
      <c r="D1" s="132" t="s">
        <v>141</v>
      </c>
      <c r="E1" s="132" t="s">
        <v>142</v>
      </c>
      <c r="F1" s="135" t="s">
        <v>143</v>
      </c>
      <c r="G1" s="128" t="s">
        <v>144</v>
      </c>
    </row>
    <row r="2" spans="1:17" x14ac:dyDescent="0.25">
      <c r="A2" s="59"/>
      <c r="B2" s="130"/>
      <c r="C2" s="133"/>
      <c r="D2" s="133"/>
      <c r="E2" s="133"/>
      <c r="F2" s="135"/>
      <c r="G2" s="128"/>
    </row>
    <row r="3" spans="1:17" x14ac:dyDescent="0.25">
      <c r="A3" s="60"/>
      <c r="B3" s="131"/>
      <c r="C3" s="134"/>
      <c r="D3" s="134"/>
      <c r="E3" s="134"/>
      <c r="F3" s="135"/>
      <c r="G3" s="128"/>
    </row>
    <row r="4" spans="1:17" hidden="1" x14ac:dyDescent="0.25">
      <c r="A4" s="27" t="s">
        <v>145</v>
      </c>
      <c r="B4" s="28">
        <v>216713807.00999999</v>
      </c>
      <c r="C4" s="29">
        <v>69964266.379999995</v>
      </c>
      <c r="D4" s="29">
        <v>75720384.359999999</v>
      </c>
      <c r="E4" s="29">
        <v>71029156.269999996</v>
      </c>
      <c r="F4" s="67"/>
      <c r="G4" s="67"/>
    </row>
    <row r="5" spans="1:17" hidden="1" x14ac:dyDescent="0.25">
      <c r="A5" s="31" t="s">
        <v>146</v>
      </c>
      <c r="B5" s="32">
        <v>132806004.23999999</v>
      </c>
      <c r="C5" s="33">
        <v>44897287.969999999</v>
      </c>
      <c r="D5" s="33">
        <v>45371489.659999996</v>
      </c>
      <c r="E5" s="33">
        <v>42537226.609999999</v>
      </c>
      <c r="F5" s="68"/>
      <c r="G5" s="68"/>
    </row>
    <row r="6" spans="1:17" hidden="1" x14ac:dyDescent="0.25">
      <c r="A6" s="31" t="s">
        <v>147</v>
      </c>
      <c r="B6" s="32">
        <v>76013560.75</v>
      </c>
      <c r="C6" s="33">
        <v>25026532.399999999</v>
      </c>
      <c r="D6" s="33">
        <v>24956776.960000001</v>
      </c>
      <c r="E6" s="33">
        <v>26030251.390000001</v>
      </c>
      <c r="F6" s="68"/>
      <c r="G6" s="68"/>
    </row>
    <row r="7" spans="1:17" hidden="1" x14ac:dyDescent="0.25">
      <c r="A7" s="31" t="s">
        <v>148</v>
      </c>
      <c r="B7" s="32">
        <v>7894242.0199999996</v>
      </c>
      <c r="C7" s="33">
        <v>40446.01</v>
      </c>
      <c r="D7" s="33">
        <v>5392117.7400000002</v>
      </c>
      <c r="E7" s="33">
        <v>2461678.27</v>
      </c>
      <c r="F7" s="68"/>
      <c r="G7" s="68"/>
    </row>
    <row r="8" spans="1:17" x14ac:dyDescent="0.25">
      <c r="A8" s="27" t="s">
        <v>149</v>
      </c>
      <c r="B8" s="28">
        <v>78140949.519999996</v>
      </c>
      <c r="C8" s="29">
        <v>22877127.52</v>
      </c>
      <c r="D8" s="29">
        <v>32602286.800000001</v>
      </c>
      <c r="E8" s="29">
        <v>22661535.199999999</v>
      </c>
      <c r="F8" s="67"/>
      <c r="G8" s="67"/>
    </row>
    <row r="9" spans="1:17" x14ac:dyDescent="0.25">
      <c r="A9" s="35" t="s">
        <v>150</v>
      </c>
      <c r="B9" s="28">
        <v>17323743.890000001</v>
      </c>
      <c r="C9" s="29">
        <v>5752115.3600000003</v>
      </c>
      <c r="D9" s="29">
        <v>5798315.9900000002</v>
      </c>
      <c r="E9" s="29">
        <v>5773312.54</v>
      </c>
      <c r="F9" s="67"/>
      <c r="G9" s="67"/>
    </row>
    <row r="10" spans="1:17" x14ac:dyDescent="0.25">
      <c r="A10" s="37" t="s">
        <v>151</v>
      </c>
      <c r="B10" s="38">
        <v>4484877.6399999997</v>
      </c>
      <c r="C10" s="39">
        <v>1587160.85</v>
      </c>
      <c r="D10" s="39">
        <v>1582508.34</v>
      </c>
      <c r="E10" s="39">
        <v>1315208.45</v>
      </c>
      <c r="F10" s="69" t="s">
        <v>152</v>
      </c>
      <c r="G10" s="69" t="s">
        <v>153</v>
      </c>
    </row>
    <row r="11" spans="1:17" x14ac:dyDescent="0.25">
      <c r="A11" s="37" t="s">
        <v>151</v>
      </c>
      <c r="B11" s="38"/>
      <c r="C11" s="39"/>
      <c r="D11" s="39"/>
      <c r="E11" s="39"/>
      <c r="F11" s="69" t="s">
        <v>154</v>
      </c>
      <c r="G11" s="69" t="s">
        <v>153</v>
      </c>
      <c r="H11" t="s">
        <v>155</v>
      </c>
    </row>
    <row r="12" spans="1:17" x14ac:dyDescent="0.25">
      <c r="A12" s="37" t="s">
        <v>156</v>
      </c>
      <c r="B12" s="38">
        <v>2439518.1800000002</v>
      </c>
      <c r="C12" s="39">
        <v>797000</v>
      </c>
      <c r="D12" s="39">
        <v>815000</v>
      </c>
      <c r="E12" s="39">
        <v>827518.18</v>
      </c>
      <c r="F12" s="69" t="s">
        <v>152</v>
      </c>
      <c r="G12" s="75" t="s">
        <v>153</v>
      </c>
      <c r="O12" t="s">
        <v>157</v>
      </c>
      <c r="Q12" s="64" t="s">
        <v>158</v>
      </c>
    </row>
    <row r="13" spans="1:17" x14ac:dyDescent="0.25">
      <c r="A13" s="37" t="s">
        <v>156</v>
      </c>
      <c r="B13" s="38"/>
      <c r="C13" s="39"/>
      <c r="D13" s="39"/>
      <c r="E13" s="39"/>
      <c r="F13" s="75" t="s">
        <v>154</v>
      </c>
      <c r="G13" s="75" t="s">
        <v>153</v>
      </c>
      <c r="H13" t="s">
        <v>155</v>
      </c>
      <c r="O13" s="64" t="s">
        <v>159</v>
      </c>
      <c r="P13" s="64" t="s">
        <v>160</v>
      </c>
      <c r="Q13" t="s">
        <v>50</v>
      </c>
    </row>
    <row r="14" spans="1:17" x14ac:dyDescent="0.25">
      <c r="A14" s="37" t="s">
        <v>161</v>
      </c>
      <c r="B14" s="38">
        <v>1912936</v>
      </c>
      <c r="C14" s="39">
        <v>610682</v>
      </c>
      <c r="D14" s="39">
        <v>580000</v>
      </c>
      <c r="E14" s="39">
        <v>722254</v>
      </c>
      <c r="F14" s="69" t="s">
        <v>152</v>
      </c>
      <c r="G14" s="75" t="s">
        <v>162</v>
      </c>
      <c r="O14" t="s">
        <v>153</v>
      </c>
      <c r="P14" t="s">
        <v>163</v>
      </c>
      <c r="Q14" t="s">
        <v>164</v>
      </c>
    </row>
    <row r="15" spans="1:17" x14ac:dyDescent="0.25">
      <c r="A15" s="37" t="s">
        <v>161</v>
      </c>
      <c r="B15" s="38"/>
      <c r="C15" s="39"/>
      <c r="D15" s="39"/>
      <c r="E15" s="39"/>
      <c r="F15" s="69" t="s">
        <v>154</v>
      </c>
      <c r="G15" s="75" t="s">
        <v>153</v>
      </c>
      <c r="O15" s="64" t="s">
        <v>162</v>
      </c>
      <c r="P15" s="64" t="s">
        <v>165</v>
      </c>
      <c r="Q15" t="s">
        <v>166</v>
      </c>
    </row>
    <row r="16" spans="1:17" x14ac:dyDescent="0.25">
      <c r="A16" s="37" t="s">
        <v>167</v>
      </c>
      <c r="B16" s="38">
        <v>1211460.2</v>
      </c>
      <c r="C16" s="39">
        <v>405760.42</v>
      </c>
      <c r="D16" s="39">
        <v>402420.12</v>
      </c>
      <c r="E16" s="39">
        <v>403279.66</v>
      </c>
      <c r="F16" s="69" t="s">
        <v>154</v>
      </c>
      <c r="G16" s="69" t="s">
        <v>153</v>
      </c>
      <c r="O16" t="s">
        <v>168</v>
      </c>
      <c r="P16" t="s">
        <v>169</v>
      </c>
      <c r="Q16" t="s">
        <v>170</v>
      </c>
    </row>
    <row r="17" spans="1:7" x14ac:dyDescent="0.25">
      <c r="A17" s="37" t="s">
        <v>171</v>
      </c>
      <c r="B17" s="38">
        <v>7274951.8700000001</v>
      </c>
      <c r="C17" s="39">
        <v>2351512.09</v>
      </c>
      <c r="D17" s="39">
        <v>2418387.5299999998</v>
      </c>
      <c r="E17" s="39">
        <v>2505052.25</v>
      </c>
      <c r="F17" s="69" t="s">
        <v>152</v>
      </c>
      <c r="G17" s="69" t="s">
        <v>159</v>
      </c>
    </row>
    <row r="18" spans="1:7" x14ac:dyDescent="0.25">
      <c r="A18" s="41" t="s">
        <v>172</v>
      </c>
      <c r="B18" s="38">
        <v>3200736.35</v>
      </c>
      <c r="C18" s="39">
        <v>1029711.76</v>
      </c>
      <c r="D18" s="39">
        <v>1030975.74</v>
      </c>
      <c r="E18" s="39">
        <v>1140048.8500000001</v>
      </c>
      <c r="F18" s="69" t="s">
        <v>173</v>
      </c>
      <c r="G18" s="69"/>
    </row>
    <row r="19" spans="1:7" x14ac:dyDescent="0.25">
      <c r="A19" s="41" t="s">
        <v>174</v>
      </c>
      <c r="B19" s="38">
        <v>16388919.99</v>
      </c>
      <c r="C19" s="39">
        <v>5273619.41</v>
      </c>
      <c r="D19" s="39">
        <v>5482073.0300000003</v>
      </c>
      <c r="E19" s="39">
        <v>5633227.5499999998</v>
      </c>
      <c r="F19" s="69" t="s">
        <v>152</v>
      </c>
      <c r="G19" s="69" t="s">
        <v>162</v>
      </c>
    </row>
    <row r="20" spans="1:7" x14ac:dyDescent="0.25">
      <c r="A20" s="41" t="s">
        <v>175</v>
      </c>
      <c r="B20" s="38">
        <v>1651176.66</v>
      </c>
      <c r="C20" s="39">
        <v>266106.7</v>
      </c>
      <c r="D20" s="39">
        <v>1104622.0800000001</v>
      </c>
      <c r="E20" s="39">
        <v>280447.88</v>
      </c>
      <c r="F20" s="69" t="s">
        <v>152</v>
      </c>
      <c r="G20" s="69" t="s">
        <v>162</v>
      </c>
    </row>
    <row r="21" spans="1:7" x14ac:dyDescent="0.25">
      <c r="A21" s="41" t="s">
        <v>176</v>
      </c>
      <c r="B21" s="38">
        <v>3916505.53</v>
      </c>
      <c r="C21" s="39">
        <v>1614131.69</v>
      </c>
      <c r="D21" s="39">
        <v>1127256.17</v>
      </c>
      <c r="E21" s="39">
        <v>1175117.67</v>
      </c>
      <c r="F21" s="69" t="s">
        <v>152</v>
      </c>
      <c r="G21" s="69" t="s">
        <v>162</v>
      </c>
    </row>
    <row r="22" spans="1:7" x14ac:dyDescent="0.25">
      <c r="A22" s="41" t="s">
        <v>177</v>
      </c>
      <c r="B22" s="38">
        <v>26959720.18</v>
      </c>
      <c r="C22" s="39">
        <v>7073259.4400000004</v>
      </c>
      <c r="D22" s="39">
        <v>13101578.58</v>
      </c>
      <c r="E22" s="39">
        <v>6784882.1600000001</v>
      </c>
      <c r="F22" s="69" t="s">
        <v>152</v>
      </c>
      <c r="G22" s="69" t="s">
        <v>162</v>
      </c>
    </row>
    <row r="23" spans="1:7" x14ac:dyDescent="0.25">
      <c r="A23" s="41" t="s">
        <v>178</v>
      </c>
      <c r="B23" s="38">
        <v>915950.46</v>
      </c>
      <c r="C23" s="39">
        <v>115869.31</v>
      </c>
      <c r="D23" s="39">
        <v>198654.21</v>
      </c>
      <c r="E23" s="39">
        <v>601426.93999999994</v>
      </c>
      <c r="F23" s="69" t="s">
        <v>152</v>
      </c>
      <c r="G23" s="69" t="s">
        <v>162</v>
      </c>
    </row>
    <row r="24" spans="1:7" x14ac:dyDescent="0.25">
      <c r="A24" s="41" t="s">
        <v>179</v>
      </c>
      <c r="B24" s="38">
        <v>7784196.46</v>
      </c>
      <c r="C24" s="39">
        <v>1752313.85</v>
      </c>
      <c r="D24" s="39">
        <v>4758811</v>
      </c>
      <c r="E24" s="39">
        <v>1273071.6100000001</v>
      </c>
      <c r="F24" s="69" t="s">
        <v>152</v>
      </c>
      <c r="G24" s="69" t="s">
        <v>162</v>
      </c>
    </row>
    <row r="25" spans="1:7" x14ac:dyDescent="0.25">
      <c r="A25" s="31" t="s">
        <v>180</v>
      </c>
      <c r="B25" s="42"/>
      <c r="C25" s="43"/>
      <c r="D25" s="43"/>
      <c r="E25" s="43"/>
      <c r="F25" s="70" t="s">
        <v>173</v>
      </c>
      <c r="G25" s="70"/>
    </row>
    <row r="26" spans="1:7" hidden="1" x14ac:dyDescent="0.25">
      <c r="A26" s="27" t="s">
        <v>181</v>
      </c>
      <c r="B26" s="28">
        <v>138572857.49000001</v>
      </c>
      <c r="C26" s="29">
        <v>47087138.859999999</v>
      </c>
      <c r="D26" s="29">
        <v>43118097.560000002</v>
      </c>
      <c r="E26" s="29">
        <v>48367621.07</v>
      </c>
      <c r="F26" s="67"/>
      <c r="G26" s="67"/>
    </row>
    <row r="27" spans="1:7" hidden="1" x14ac:dyDescent="0.25">
      <c r="A27" s="27" t="s">
        <v>182</v>
      </c>
      <c r="B27" s="44">
        <v>64</v>
      </c>
      <c r="C27" s="45">
        <v>67</v>
      </c>
      <c r="D27" s="45">
        <v>57</v>
      </c>
      <c r="E27" s="45">
        <v>68</v>
      </c>
      <c r="F27" s="71"/>
      <c r="G27" s="71"/>
    </row>
    <row r="28" spans="1:7" hidden="1" x14ac:dyDescent="0.25">
      <c r="A28" s="27" t="s">
        <v>183</v>
      </c>
      <c r="B28" s="28">
        <v>56710395.049999997</v>
      </c>
      <c r="C28" s="29">
        <v>17213074.449999999</v>
      </c>
      <c r="D28" s="29">
        <v>18535797.32</v>
      </c>
      <c r="E28" s="29">
        <v>20961523.280000001</v>
      </c>
      <c r="F28" s="67"/>
      <c r="G28" s="67"/>
    </row>
    <row r="29" spans="1:7" x14ac:dyDescent="0.25">
      <c r="A29" s="35" t="s">
        <v>184</v>
      </c>
      <c r="B29" s="28">
        <v>27423018.960000001</v>
      </c>
      <c r="C29" s="29">
        <v>9299359.8100000005</v>
      </c>
      <c r="D29" s="29">
        <v>8470888.4800000004</v>
      </c>
      <c r="E29" s="29">
        <v>9652770.6699999999</v>
      </c>
      <c r="F29" s="67"/>
      <c r="G29" s="67"/>
    </row>
    <row r="30" spans="1:7" x14ac:dyDescent="0.25">
      <c r="A30" s="47" t="s">
        <v>185</v>
      </c>
      <c r="B30" s="28">
        <v>17373202.25</v>
      </c>
      <c r="C30" s="29">
        <v>4982920.95</v>
      </c>
      <c r="D30" s="29">
        <v>5058938.3600000003</v>
      </c>
      <c r="E30" s="29">
        <v>7331342.9400000004</v>
      </c>
      <c r="F30" s="67"/>
      <c r="G30" s="67"/>
    </row>
    <row r="31" spans="1:7" x14ac:dyDescent="0.25">
      <c r="A31" s="49" t="s">
        <v>186</v>
      </c>
      <c r="B31" s="38">
        <v>9456449.5899999999</v>
      </c>
      <c r="C31" s="39">
        <v>2366000</v>
      </c>
      <c r="D31" s="39">
        <v>2436000</v>
      </c>
      <c r="E31" s="39">
        <v>4654449.59</v>
      </c>
      <c r="F31" s="69" t="s">
        <v>187</v>
      </c>
      <c r="G31" s="69" t="s">
        <v>162</v>
      </c>
    </row>
    <row r="32" spans="1:7" x14ac:dyDescent="0.25">
      <c r="A32" s="49" t="s">
        <v>188</v>
      </c>
      <c r="B32" s="38">
        <v>2809000</v>
      </c>
      <c r="C32" s="39">
        <v>933000</v>
      </c>
      <c r="D32" s="39">
        <v>938000</v>
      </c>
      <c r="E32" s="39">
        <v>938000</v>
      </c>
      <c r="F32" s="69" t="s">
        <v>187</v>
      </c>
      <c r="G32" s="69" t="s">
        <v>162</v>
      </c>
    </row>
    <row r="33" spans="1:7" x14ac:dyDescent="0.25">
      <c r="A33" s="49" t="s">
        <v>189</v>
      </c>
      <c r="B33" s="38">
        <v>1030714.28</v>
      </c>
      <c r="C33" s="39">
        <v>327000</v>
      </c>
      <c r="D33" s="39">
        <v>334714.28000000003</v>
      </c>
      <c r="E33" s="39">
        <v>369000</v>
      </c>
      <c r="F33" s="69" t="s">
        <v>152</v>
      </c>
      <c r="G33" s="69" t="s">
        <v>168</v>
      </c>
    </row>
    <row r="34" spans="1:7" x14ac:dyDescent="0.25">
      <c r="A34" s="49" t="s">
        <v>189</v>
      </c>
      <c r="B34" s="38">
        <v>1030714.28</v>
      </c>
      <c r="C34" s="39">
        <v>327000</v>
      </c>
      <c r="D34" s="39">
        <v>334714.28000000003</v>
      </c>
      <c r="E34" s="39">
        <v>369000</v>
      </c>
      <c r="F34" s="69" t="s">
        <v>154</v>
      </c>
      <c r="G34" s="69" t="s">
        <v>153</v>
      </c>
    </row>
    <row r="35" spans="1:7" x14ac:dyDescent="0.25">
      <c r="A35" s="49" t="s">
        <v>190</v>
      </c>
      <c r="B35" s="38">
        <v>1825000</v>
      </c>
      <c r="C35" s="39">
        <v>543000</v>
      </c>
      <c r="D35" s="39">
        <v>646000</v>
      </c>
      <c r="E35" s="39">
        <v>636000</v>
      </c>
      <c r="F35" s="69" t="s">
        <v>187</v>
      </c>
      <c r="G35" s="69" t="s">
        <v>162</v>
      </c>
    </row>
    <row r="36" spans="1:7" x14ac:dyDescent="0.25">
      <c r="A36" s="49" t="s">
        <v>191</v>
      </c>
      <c r="B36" s="38">
        <v>2252038.38</v>
      </c>
      <c r="C36" s="39">
        <v>813920.95</v>
      </c>
      <c r="D36" s="39">
        <v>704224.08</v>
      </c>
      <c r="E36" s="39">
        <v>733893.35</v>
      </c>
      <c r="F36" s="69" t="s">
        <v>152</v>
      </c>
      <c r="G36" s="69" t="s">
        <v>159</v>
      </c>
    </row>
    <row r="37" spans="1:7" x14ac:dyDescent="0.25">
      <c r="A37" s="51" t="s">
        <v>192</v>
      </c>
      <c r="B37" s="32">
        <v>6750</v>
      </c>
      <c r="C37" s="33">
        <v>2400</v>
      </c>
      <c r="D37" s="33">
        <v>2400</v>
      </c>
      <c r="E37" s="33">
        <v>1950</v>
      </c>
      <c r="F37" s="68" t="s">
        <v>173</v>
      </c>
      <c r="G37" s="68"/>
    </row>
    <row r="38" spans="1:7" x14ac:dyDescent="0.25">
      <c r="A38" s="37" t="s">
        <v>193</v>
      </c>
      <c r="B38" s="38">
        <v>1881504.14</v>
      </c>
      <c r="C38" s="39">
        <v>609734.54</v>
      </c>
      <c r="D38" s="39">
        <v>623123.19999999995</v>
      </c>
      <c r="E38" s="39">
        <v>648646.40000000002</v>
      </c>
      <c r="F38" s="69" t="s">
        <v>173</v>
      </c>
      <c r="G38" s="69"/>
    </row>
    <row r="39" spans="1:7" x14ac:dyDescent="0.25">
      <c r="A39" s="37" t="s">
        <v>194</v>
      </c>
      <c r="B39" s="38">
        <v>3343809.21</v>
      </c>
      <c r="C39" s="39">
        <v>1077259.2</v>
      </c>
      <c r="D39" s="39">
        <v>1402944.68</v>
      </c>
      <c r="E39" s="39">
        <v>863605.33</v>
      </c>
      <c r="F39" s="69" t="s">
        <v>187</v>
      </c>
      <c r="G39" s="69" t="s">
        <v>168</v>
      </c>
    </row>
    <row r="40" spans="1:7" x14ac:dyDescent="0.25">
      <c r="A40" s="49" t="s">
        <v>195</v>
      </c>
      <c r="B40" s="38">
        <v>72000</v>
      </c>
      <c r="C40" s="39">
        <v>24000</v>
      </c>
      <c r="D40" s="39">
        <v>24000</v>
      </c>
      <c r="E40" s="39">
        <v>24000</v>
      </c>
      <c r="F40" s="69" t="s">
        <v>187</v>
      </c>
      <c r="G40" s="69" t="s">
        <v>168</v>
      </c>
    </row>
    <row r="41" spans="1:7" x14ac:dyDescent="0.25">
      <c r="A41" s="49" t="s">
        <v>196</v>
      </c>
      <c r="B41" s="38">
        <v>470517.69</v>
      </c>
      <c r="C41" s="39">
        <v>144269.29999999999</v>
      </c>
      <c r="D41" s="39">
        <v>179474.08</v>
      </c>
      <c r="E41" s="39">
        <v>146774.31</v>
      </c>
      <c r="F41" s="69" t="s">
        <v>187</v>
      </c>
      <c r="G41" s="69" t="s">
        <v>168</v>
      </c>
    </row>
    <row r="42" spans="1:7" x14ac:dyDescent="0.25">
      <c r="A42" s="49" t="s">
        <v>197</v>
      </c>
      <c r="B42" s="52"/>
      <c r="C42" s="53"/>
      <c r="D42" s="53"/>
      <c r="E42" s="53"/>
      <c r="F42" s="69" t="s">
        <v>187</v>
      </c>
      <c r="G42" s="69" t="s">
        <v>168</v>
      </c>
    </row>
    <row r="43" spans="1:7" x14ac:dyDescent="0.25">
      <c r="A43" s="49" t="s">
        <v>198</v>
      </c>
      <c r="B43" s="52"/>
      <c r="C43" s="53"/>
      <c r="D43" s="53"/>
      <c r="E43" s="53"/>
      <c r="F43" s="69" t="s">
        <v>187</v>
      </c>
      <c r="G43" s="69" t="s">
        <v>168</v>
      </c>
    </row>
    <row r="44" spans="1:7" x14ac:dyDescent="0.25">
      <c r="A44" s="49" t="s">
        <v>199</v>
      </c>
      <c r="B44" s="38">
        <v>210000</v>
      </c>
      <c r="C44" s="39">
        <v>180000</v>
      </c>
      <c r="D44" s="39">
        <v>30000</v>
      </c>
      <c r="E44" s="53"/>
      <c r="F44" s="69" t="s">
        <v>187</v>
      </c>
      <c r="G44" s="69" t="s">
        <v>168</v>
      </c>
    </row>
    <row r="45" spans="1:7" x14ac:dyDescent="0.25">
      <c r="A45" s="49" t="s">
        <v>200</v>
      </c>
      <c r="B45" s="38">
        <v>1262729.83</v>
      </c>
      <c r="C45" s="39">
        <v>530054.21</v>
      </c>
      <c r="D45" s="39">
        <v>253500</v>
      </c>
      <c r="E45" s="39">
        <v>479175.62</v>
      </c>
      <c r="F45" s="69" t="s">
        <v>187</v>
      </c>
      <c r="G45" s="69" t="s">
        <v>168</v>
      </c>
    </row>
    <row r="46" spans="1:7" x14ac:dyDescent="0.25">
      <c r="A46" s="49" t="s">
        <v>201</v>
      </c>
      <c r="B46" s="38">
        <v>112369.60000000001</v>
      </c>
      <c r="C46" s="39">
        <v>2425</v>
      </c>
      <c r="D46" s="39">
        <v>92586.7</v>
      </c>
      <c r="E46" s="39">
        <v>17357.900000000001</v>
      </c>
      <c r="F46" s="69" t="s">
        <v>187</v>
      </c>
      <c r="G46" s="69" t="s">
        <v>168</v>
      </c>
    </row>
    <row r="47" spans="1:7" x14ac:dyDescent="0.25">
      <c r="A47" s="49" t="s">
        <v>202</v>
      </c>
      <c r="B47" s="38">
        <v>90172.5</v>
      </c>
      <c r="C47" s="53"/>
      <c r="D47" s="39">
        <v>57075</v>
      </c>
      <c r="E47" s="39">
        <v>33097.5</v>
      </c>
      <c r="F47" s="69" t="s">
        <v>187</v>
      </c>
      <c r="G47" s="69" t="s">
        <v>168</v>
      </c>
    </row>
    <row r="48" spans="1:7" x14ac:dyDescent="0.25">
      <c r="A48" s="49" t="s">
        <v>203</v>
      </c>
      <c r="B48" s="38">
        <v>844764.49</v>
      </c>
      <c r="C48" s="39">
        <v>126510.69</v>
      </c>
      <c r="D48" s="39">
        <v>718253.8</v>
      </c>
      <c r="E48" s="53"/>
      <c r="F48" s="69" t="s">
        <v>187</v>
      </c>
      <c r="G48" s="69" t="s">
        <v>168</v>
      </c>
    </row>
    <row r="49" spans="1:7" x14ac:dyDescent="0.25">
      <c r="A49" s="49" t="s">
        <v>204</v>
      </c>
      <c r="B49" s="38">
        <v>120000</v>
      </c>
      <c r="C49" s="39">
        <v>45000</v>
      </c>
      <c r="D49" s="39">
        <v>15000</v>
      </c>
      <c r="E49" s="39">
        <v>60000</v>
      </c>
      <c r="F49" s="69" t="s">
        <v>187</v>
      </c>
      <c r="G49" s="69" t="s">
        <v>168</v>
      </c>
    </row>
    <row r="50" spans="1:7" x14ac:dyDescent="0.25">
      <c r="A50" s="49" t="s">
        <v>205</v>
      </c>
      <c r="B50" s="38">
        <v>10900</v>
      </c>
      <c r="C50" s="53"/>
      <c r="D50" s="39">
        <v>4000</v>
      </c>
      <c r="E50" s="39">
        <v>6900</v>
      </c>
      <c r="F50" s="69" t="s">
        <v>187</v>
      </c>
      <c r="G50" s="69" t="s">
        <v>168</v>
      </c>
    </row>
    <row r="51" spans="1:7" x14ac:dyDescent="0.25">
      <c r="A51" s="37" t="s">
        <v>206</v>
      </c>
      <c r="B51" s="38">
        <v>513133.88</v>
      </c>
      <c r="C51" s="39">
        <v>180017.83</v>
      </c>
      <c r="D51" s="39">
        <v>250015.95</v>
      </c>
      <c r="E51" s="39">
        <v>83100.100000000006</v>
      </c>
      <c r="F51" s="69" t="s">
        <v>187</v>
      </c>
      <c r="G51" s="69" t="s">
        <v>168</v>
      </c>
    </row>
    <row r="52" spans="1:7" x14ac:dyDescent="0.25">
      <c r="A52" s="37" t="s">
        <v>207</v>
      </c>
      <c r="B52" s="38">
        <v>4304619.4800000004</v>
      </c>
      <c r="C52" s="39">
        <v>2447027.29</v>
      </c>
      <c r="D52" s="39">
        <v>1133466.29</v>
      </c>
      <c r="E52" s="39">
        <v>724125.9</v>
      </c>
      <c r="F52" s="69" t="s">
        <v>187</v>
      </c>
      <c r="G52" s="69" t="s">
        <v>208</v>
      </c>
    </row>
    <row r="53" spans="1:7" x14ac:dyDescent="0.25">
      <c r="A53" s="35" t="s">
        <v>209</v>
      </c>
      <c r="B53" s="28">
        <v>29287376.09</v>
      </c>
      <c r="C53" s="29">
        <v>7913714.6399999997</v>
      </c>
      <c r="D53" s="29">
        <v>10064908.84</v>
      </c>
      <c r="E53" s="29">
        <v>11308752.609999999</v>
      </c>
      <c r="F53" s="67"/>
      <c r="G53" s="67"/>
    </row>
    <row r="54" spans="1:7" x14ac:dyDescent="0.25">
      <c r="A54" s="47" t="s">
        <v>210</v>
      </c>
      <c r="B54" s="28">
        <v>12441983.35</v>
      </c>
      <c r="C54" s="29">
        <v>4039569.3</v>
      </c>
      <c r="D54" s="29">
        <v>4098094.26</v>
      </c>
      <c r="E54" s="29">
        <v>4304319.79</v>
      </c>
      <c r="F54" s="67"/>
      <c r="G54" s="67"/>
    </row>
    <row r="55" spans="1:7" x14ac:dyDescent="0.25">
      <c r="A55" s="49" t="s">
        <v>211</v>
      </c>
      <c r="B55" s="38">
        <v>1037972</v>
      </c>
      <c r="C55" s="39">
        <v>346000</v>
      </c>
      <c r="D55" s="39">
        <v>346000</v>
      </c>
      <c r="E55" s="39">
        <v>345972</v>
      </c>
      <c r="F55" s="69" t="s">
        <v>154</v>
      </c>
      <c r="G55" s="69" t="s">
        <v>153</v>
      </c>
    </row>
    <row r="56" spans="1:7" x14ac:dyDescent="0.25">
      <c r="A56" s="49" t="s">
        <v>212</v>
      </c>
      <c r="B56" s="38">
        <v>2726278.81</v>
      </c>
      <c r="C56" s="39">
        <v>867000</v>
      </c>
      <c r="D56" s="39">
        <v>867000</v>
      </c>
      <c r="E56" s="39">
        <v>992278.81</v>
      </c>
      <c r="F56" s="69" t="s">
        <v>154</v>
      </c>
      <c r="G56" s="69" t="s">
        <v>153</v>
      </c>
    </row>
    <row r="57" spans="1:7" x14ac:dyDescent="0.25">
      <c r="A57" s="49" t="s">
        <v>213</v>
      </c>
      <c r="B57" s="38">
        <v>1640024.89</v>
      </c>
      <c r="C57" s="39">
        <v>492410.08</v>
      </c>
      <c r="D57" s="39">
        <v>550871.43000000005</v>
      </c>
      <c r="E57" s="39">
        <v>596743.38</v>
      </c>
      <c r="F57" s="69" t="s">
        <v>154</v>
      </c>
      <c r="G57" s="69" t="s">
        <v>153</v>
      </c>
    </row>
    <row r="58" spans="1:7" x14ac:dyDescent="0.25">
      <c r="A58" s="49" t="s">
        <v>214</v>
      </c>
      <c r="B58" s="38">
        <v>1062000</v>
      </c>
      <c r="C58" s="39">
        <v>332363.64</v>
      </c>
      <c r="D58" s="39">
        <v>345500</v>
      </c>
      <c r="E58" s="39">
        <v>384136.36</v>
      </c>
      <c r="F58" s="69" t="s">
        <v>154</v>
      </c>
      <c r="G58" s="69" t="s">
        <v>153</v>
      </c>
    </row>
    <row r="59" spans="1:7" x14ac:dyDescent="0.25">
      <c r="A59" s="49" t="s">
        <v>215</v>
      </c>
      <c r="B59" s="38">
        <v>2424301.0499999998</v>
      </c>
      <c r="C59" s="39">
        <v>809550.05</v>
      </c>
      <c r="D59" s="39">
        <v>808114.6</v>
      </c>
      <c r="E59" s="39">
        <v>806636.4</v>
      </c>
      <c r="F59" s="69" t="s">
        <v>154</v>
      </c>
      <c r="G59" s="69" t="s">
        <v>153</v>
      </c>
    </row>
    <row r="60" spans="1:7" x14ac:dyDescent="0.25">
      <c r="A60" s="49" t="s">
        <v>216</v>
      </c>
      <c r="B60" s="38">
        <v>3551406.6</v>
      </c>
      <c r="C60" s="39">
        <v>1192245.53</v>
      </c>
      <c r="D60" s="39">
        <v>1180608.23</v>
      </c>
      <c r="E60" s="39">
        <v>1178552.8400000001</v>
      </c>
      <c r="F60" s="69" t="s">
        <v>154</v>
      </c>
      <c r="G60" s="69" t="s">
        <v>153</v>
      </c>
    </row>
    <row r="61" spans="1:7" x14ac:dyDescent="0.25">
      <c r="A61" s="37" t="s">
        <v>217</v>
      </c>
      <c r="B61" s="38">
        <v>1731271.1</v>
      </c>
      <c r="C61" s="39">
        <v>516957.5</v>
      </c>
      <c r="D61" s="39">
        <v>606034.9</v>
      </c>
      <c r="E61" s="39">
        <v>608278.69999999995</v>
      </c>
      <c r="F61" s="69" t="s">
        <v>154</v>
      </c>
      <c r="G61" s="69" t="s">
        <v>153</v>
      </c>
    </row>
    <row r="62" spans="1:7" x14ac:dyDescent="0.25">
      <c r="A62" s="37" t="s">
        <v>218</v>
      </c>
      <c r="B62" s="38">
        <v>3530776.09</v>
      </c>
      <c r="C62" s="39">
        <v>753450.74</v>
      </c>
      <c r="D62" s="39">
        <v>1916626.74</v>
      </c>
      <c r="E62" s="39">
        <v>860698.61</v>
      </c>
      <c r="F62" s="69" t="s">
        <v>154</v>
      </c>
      <c r="G62" s="69" t="s">
        <v>153</v>
      </c>
    </row>
    <row r="63" spans="1:7" x14ac:dyDescent="0.25">
      <c r="A63" s="37" t="s">
        <v>219</v>
      </c>
      <c r="B63" s="38">
        <v>232216.61</v>
      </c>
      <c r="C63" s="39">
        <v>13324.15</v>
      </c>
      <c r="D63" s="39">
        <v>112497.42</v>
      </c>
      <c r="E63" s="39">
        <v>106395.04</v>
      </c>
      <c r="F63" s="69" t="s">
        <v>154</v>
      </c>
      <c r="G63" s="69" t="s">
        <v>153</v>
      </c>
    </row>
    <row r="64" spans="1:7" x14ac:dyDescent="0.25">
      <c r="A64" s="37" t="s">
        <v>220</v>
      </c>
      <c r="B64" s="38">
        <v>3223539.11</v>
      </c>
      <c r="C64" s="39">
        <v>1053127.8700000001</v>
      </c>
      <c r="D64" s="39">
        <v>1234914.31</v>
      </c>
      <c r="E64" s="39">
        <v>935496.93</v>
      </c>
      <c r="F64" s="69" t="s">
        <v>154</v>
      </c>
      <c r="G64" s="69" t="s">
        <v>153</v>
      </c>
    </row>
    <row r="65" spans="1:7" x14ac:dyDescent="0.25">
      <c r="A65" s="37" t="s">
        <v>221</v>
      </c>
      <c r="B65" s="38">
        <v>2384686.9300000002</v>
      </c>
      <c r="C65" s="39">
        <v>557345.89</v>
      </c>
      <c r="D65" s="39">
        <v>1416343.14</v>
      </c>
      <c r="E65" s="39">
        <v>410997.9</v>
      </c>
      <c r="F65" s="69" t="s">
        <v>154</v>
      </c>
      <c r="G65" s="69" t="s">
        <v>153</v>
      </c>
    </row>
    <row r="66" spans="1:7" x14ac:dyDescent="0.25">
      <c r="A66" s="37" t="s">
        <v>222</v>
      </c>
      <c r="B66" s="38">
        <v>74527.12</v>
      </c>
      <c r="C66" s="39">
        <v>19565.400000000001</v>
      </c>
      <c r="D66" s="39">
        <v>24158.41</v>
      </c>
      <c r="E66" s="39">
        <v>30803.31</v>
      </c>
      <c r="F66" s="69" t="s">
        <v>154</v>
      </c>
      <c r="G66" s="69" t="s">
        <v>153</v>
      </c>
    </row>
    <row r="67" spans="1:7" x14ac:dyDescent="0.25">
      <c r="A67" s="37" t="s">
        <v>223</v>
      </c>
      <c r="B67" s="38">
        <v>214007.29</v>
      </c>
      <c r="C67" s="39">
        <v>79787.37</v>
      </c>
      <c r="D67" s="39">
        <v>106304.55</v>
      </c>
      <c r="E67" s="39">
        <v>27915.37</v>
      </c>
      <c r="F67" s="69" t="s">
        <v>154</v>
      </c>
      <c r="G67" s="69" t="s">
        <v>153</v>
      </c>
    </row>
    <row r="68" spans="1:7" x14ac:dyDescent="0.25">
      <c r="A68" s="37" t="s">
        <v>224</v>
      </c>
      <c r="B68" s="54">
        <v>589</v>
      </c>
      <c r="C68" s="53"/>
      <c r="D68" s="53"/>
      <c r="E68" s="55">
        <v>589</v>
      </c>
      <c r="F68" s="69" t="s">
        <v>154</v>
      </c>
      <c r="G68" s="69" t="s">
        <v>153</v>
      </c>
    </row>
    <row r="69" spans="1:7" x14ac:dyDescent="0.25">
      <c r="A69" s="37" t="s">
        <v>225</v>
      </c>
      <c r="B69" s="38">
        <v>129140</v>
      </c>
      <c r="C69" s="39">
        <v>32595</v>
      </c>
      <c r="D69" s="39">
        <v>47375</v>
      </c>
      <c r="E69" s="39">
        <v>49170</v>
      </c>
      <c r="F69" s="69" t="s">
        <v>154</v>
      </c>
      <c r="G69" s="69" t="s">
        <v>153</v>
      </c>
    </row>
    <row r="70" spans="1:7" x14ac:dyDescent="0.25">
      <c r="A70" s="37" t="s">
        <v>226</v>
      </c>
      <c r="B70" s="38">
        <v>579147.24</v>
      </c>
      <c r="C70" s="39">
        <v>23551.57</v>
      </c>
      <c r="D70" s="39">
        <v>55398.41</v>
      </c>
      <c r="E70" s="39">
        <v>500197.26</v>
      </c>
      <c r="F70" s="69" t="s">
        <v>154</v>
      </c>
      <c r="G70" s="69" t="s">
        <v>153</v>
      </c>
    </row>
    <row r="71" spans="1:7" x14ac:dyDescent="0.25">
      <c r="A71" s="37" t="s">
        <v>227</v>
      </c>
      <c r="B71" s="38">
        <v>1466051.8</v>
      </c>
      <c r="C71" s="39">
        <v>299958.14</v>
      </c>
      <c r="D71" s="39">
        <v>235280.29</v>
      </c>
      <c r="E71" s="39">
        <v>930813.37</v>
      </c>
      <c r="F71" s="69" t="s">
        <v>154</v>
      </c>
      <c r="G71" s="69" t="s">
        <v>153</v>
      </c>
    </row>
    <row r="72" spans="1:7" x14ac:dyDescent="0.25">
      <c r="A72" s="37" t="s">
        <v>228</v>
      </c>
      <c r="B72" s="38">
        <v>3279440.45</v>
      </c>
      <c r="C72" s="39">
        <v>524481.71</v>
      </c>
      <c r="D72" s="39">
        <v>211881.41</v>
      </c>
      <c r="E72" s="39">
        <v>2543077.33</v>
      </c>
      <c r="F72" s="69" t="s">
        <v>154</v>
      </c>
      <c r="G72" s="69" t="s">
        <v>153</v>
      </c>
    </row>
    <row r="73" spans="1:7" hidden="1" x14ac:dyDescent="0.25">
      <c r="A73" s="27" t="s">
        <v>229</v>
      </c>
      <c r="B73" s="28">
        <v>81862462.439999998</v>
      </c>
      <c r="C73" s="29">
        <v>29874064.41</v>
      </c>
      <c r="D73" s="29">
        <v>24582300.239999998</v>
      </c>
      <c r="E73" s="29">
        <v>27406097.789999999</v>
      </c>
      <c r="F73" s="67"/>
      <c r="G73" s="67"/>
    </row>
    <row r="74" spans="1:7" hidden="1" x14ac:dyDescent="0.25">
      <c r="A74" s="27" t="s">
        <v>230</v>
      </c>
      <c r="B74" s="28">
        <v>3570072.74</v>
      </c>
      <c r="C74" s="29">
        <v>2259504.23</v>
      </c>
      <c r="D74" s="29">
        <v>839445.6</v>
      </c>
      <c r="E74" s="29">
        <v>471122.91</v>
      </c>
      <c r="F74" s="67"/>
      <c r="G74" s="67"/>
    </row>
    <row r="75" spans="1:7" hidden="1" x14ac:dyDescent="0.25">
      <c r="A75" s="31" t="s">
        <v>231</v>
      </c>
      <c r="B75" s="32">
        <v>7712.15</v>
      </c>
      <c r="C75" s="33">
        <v>6709.88</v>
      </c>
      <c r="D75" s="43"/>
      <c r="E75" s="33">
        <v>1002.27</v>
      </c>
      <c r="F75" s="68"/>
      <c r="G75" s="68"/>
    </row>
    <row r="76" spans="1:7" hidden="1" x14ac:dyDescent="0.25">
      <c r="A76" s="31" t="s">
        <v>232</v>
      </c>
      <c r="B76" s="32">
        <v>234516.44</v>
      </c>
      <c r="C76" s="33">
        <v>118780.08</v>
      </c>
      <c r="D76" s="33">
        <v>46125.87</v>
      </c>
      <c r="E76" s="33">
        <v>69610.490000000005</v>
      </c>
      <c r="F76" s="68"/>
      <c r="G76" s="68"/>
    </row>
    <row r="77" spans="1:7" hidden="1" x14ac:dyDescent="0.25">
      <c r="A77" s="31" t="s">
        <v>233</v>
      </c>
      <c r="B77" s="32">
        <v>1358280.26</v>
      </c>
      <c r="C77" s="33">
        <v>1331495.53</v>
      </c>
      <c r="D77" s="33">
        <v>26784.73</v>
      </c>
      <c r="E77" s="43"/>
      <c r="F77" s="70"/>
      <c r="G77" s="70"/>
    </row>
    <row r="78" spans="1:7" hidden="1" x14ac:dyDescent="0.25">
      <c r="A78" s="31" t="s">
        <v>234</v>
      </c>
      <c r="B78" s="32">
        <v>1969563.89</v>
      </c>
      <c r="C78" s="33">
        <v>802518.74</v>
      </c>
      <c r="D78" s="33">
        <v>766535</v>
      </c>
      <c r="E78" s="33">
        <v>400510.15</v>
      </c>
      <c r="F78" s="68"/>
      <c r="G78" s="68"/>
    </row>
    <row r="79" spans="1:7" x14ac:dyDescent="0.25">
      <c r="A79" s="27" t="s">
        <v>235</v>
      </c>
      <c r="B79" s="28">
        <v>1795135.92</v>
      </c>
      <c r="C79" s="29">
        <v>883793.37</v>
      </c>
      <c r="D79" s="29">
        <v>490033.91999999998</v>
      </c>
      <c r="E79" s="29">
        <v>421308.63</v>
      </c>
      <c r="F79" s="67"/>
      <c r="G79" s="67"/>
    </row>
    <row r="80" spans="1:7" x14ac:dyDescent="0.25">
      <c r="A80" s="41" t="s">
        <v>236</v>
      </c>
      <c r="B80" s="38">
        <v>982710.78</v>
      </c>
      <c r="C80" s="39">
        <v>380810.66</v>
      </c>
      <c r="D80" s="39">
        <v>444534.68</v>
      </c>
      <c r="E80" s="39">
        <v>157365.44</v>
      </c>
      <c r="F80" s="69" t="s">
        <v>154</v>
      </c>
      <c r="G80" s="69" t="s">
        <v>153</v>
      </c>
    </row>
    <row r="81" spans="1:8" x14ac:dyDescent="0.25">
      <c r="A81" s="41" t="s">
        <v>237</v>
      </c>
      <c r="B81" s="38">
        <v>272813.45</v>
      </c>
      <c r="C81" s="39">
        <v>73956.2</v>
      </c>
      <c r="D81" s="39">
        <v>37866.78</v>
      </c>
      <c r="E81" s="39">
        <v>160990.47</v>
      </c>
      <c r="F81" s="69" t="s">
        <v>154</v>
      </c>
      <c r="G81" s="69" t="s">
        <v>153</v>
      </c>
    </row>
    <row r="82" spans="1:8" x14ac:dyDescent="0.25">
      <c r="A82" s="41" t="s">
        <v>238</v>
      </c>
      <c r="B82" s="38">
        <v>539611.68999999994</v>
      </c>
      <c r="C82" s="39">
        <v>429026.51</v>
      </c>
      <c r="D82" s="39">
        <v>7632.46</v>
      </c>
      <c r="E82" s="39">
        <v>102952.72</v>
      </c>
      <c r="F82" s="69" t="s">
        <v>154</v>
      </c>
      <c r="G82" s="69" t="s">
        <v>153</v>
      </c>
    </row>
    <row r="83" spans="1:8" hidden="1" x14ac:dyDescent="0.25">
      <c r="A83" s="27" t="s">
        <v>239</v>
      </c>
      <c r="B83" s="28">
        <v>80075038.670000002</v>
      </c>
      <c r="C83" s="29">
        <v>28996980.920000002</v>
      </c>
      <c r="D83" s="29">
        <v>24092266.32</v>
      </c>
      <c r="E83" s="29">
        <v>26985791.43</v>
      </c>
      <c r="F83" s="67"/>
      <c r="G83" s="67"/>
    </row>
    <row r="84" spans="1:8" hidden="1" x14ac:dyDescent="0.25">
      <c r="A84" s="27" t="s">
        <v>240</v>
      </c>
      <c r="B84" s="44">
        <v>37</v>
      </c>
      <c r="C84" s="45">
        <v>41</v>
      </c>
      <c r="D84" s="45">
        <v>32</v>
      </c>
      <c r="E84" s="45">
        <v>38</v>
      </c>
      <c r="F84" s="71"/>
      <c r="G84" s="71"/>
    </row>
    <row r="85" spans="1:8" hidden="1" x14ac:dyDescent="0.25">
      <c r="A85" s="27" t="s">
        <v>241</v>
      </c>
      <c r="B85" s="28">
        <v>208819564.99000001</v>
      </c>
      <c r="C85" s="29">
        <v>69923820.370000005</v>
      </c>
      <c r="D85" s="29">
        <v>70328266.620000005</v>
      </c>
      <c r="E85" s="29">
        <v>68567478</v>
      </c>
      <c r="F85" s="67"/>
      <c r="G85" s="67"/>
    </row>
    <row r="86" spans="1:8" hidden="1" x14ac:dyDescent="0.25">
      <c r="A86" s="27" t="s">
        <v>242</v>
      </c>
      <c r="B86" s="28">
        <v>79964993.109999999</v>
      </c>
      <c r="C86" s="29">
        <v>30708848.760000002</v>
      </c>
      <c r="D86" s="29">
        <v>23458959.579999998</v>
      </c>
      <c r="E86" s="29">
        <v>25797184.77</v>
      </c>
      <c r="F86" s="67"/>
      <c r="G86" s="67"/>
    </row>
    <row r="87" spans="1:8" hidden="1" x14ac:dyDescent="0.25">
      <c r="A87" s="27" t="s">
        <v>243</v>
      </c>
      <c r="B87" s="44">
        <v>38</v>
      </c>
      <c r="C87" s="45">
        <v>44</v>
      </c>
      <c r="D87" s="45">
        <v>33</v>
      </c>
      <c r="E87" s="45">
        <v>38</v>
      </c>
      <c r="F87" s="71"/>
      <c r="G87" s="71"/>
    </row>
    <row r="88" spans="1:8" x14ac:dyDescent="0.25">
      <c r="A88" s="27" t="s">
        <v>244</v>
      </c>
      <c r="B88" s="28">
        <v>1299294.92</v>
      </c>
      <c r="C88" s="29">
        <v>440397.37</v>
      </c>
      <c r="D88" s="29">
        <v>383827.88</v>
      </c>
      <c r="E88" s="29">
        <v>475069.67</v>
      </c>
      <c r="F88" s="67"/>
      <c r="G88" s="67"/>
    </row>
    <row r="89" spans="1:8" x14ac:dyDescent="0.25">
      <c r="A89" s="41" t="s">
        <v>245</v>
      </c>
      <c r="B89" s="38">
        <v>1299294.92</v>
      </c>
      <c r="C89" s="39">
        <v>440397.37</v>
      </c>
      <c r="D89" s="39">
        <v>383827.88</v>
      </c>
      <c r="E89" s="39">
        <v>475069.67</v>
      </c>
      <c r="F89" s="69" t="s">
        <v>173</v>
      </c>
      <c r="G89" s="69"/>
    </row>
    <row r="90" spans="1:8" x14ac:dyDescent="0.25">
      <c r="A90" s="27" t="s">
        <v>246</v>
      </c>
      <c r="B90" s="28">
        <v>10930337.84</v>
      </c>
      <c r="C90" s="29">
        <v>3661218.59</v>
      </c>
      <c r="D90" s="29">
        <v>3679974.49</v>
      </c>
      <c r="E90" s="29">
        <v>3589144.76</v>
      </c>
      <c r="F90" s="67"/>
      <c r="G90" s="67"/>
    </row>
    <row r="91" spans="1:8" x14ac:dyDescent="0.25">
      <c r="A91" s="41" t="s">
        <v>247</v>
      </c>
      <c r="B91" s="38">
        <v>10930337.84</v>
      </c>
      <c r="C91" s="39">
        <v>3661218.59</v>
      </c>
      <c r="D91" s="39">
        <v>3679974.49</v>
      </c>
      <c r="E91" s="39">
        <v>3589144.76</v>
      </c>
      <c r="F91" s="69" t="s">
        <v>154</v>
      </c>
      <c r="G91" s="69" t="s">
        <v>153</v>
      </c>
      <c r="H91" t="s">
        <v>173</v>
      </c>
    </row>
    <row r="92" spans="1:8" x14ac:dyDescent="0.25">
      <c r="A92" s="27" t="s">
        <v>248</v>
      </c>
      <c r="B92" s="28">
        <v>16077964.369999999</v>
      </c>
      <c r="C92" s="29">
        <v>8446173.8800000008</v>
      </c>
      <c r="D92" s="29">
        <v>3912499.03</v>
      </c>
      <c r="E92" s="29">
        <v>3719291.46</v>
      </c>
      <c r="F92" s="67"/>
      <c r="G92" s="67"/>
    </row>
    <row r="93" spans="1:8" x14ac:dyDescent="0.25">
      <c r="A93" s="41" t="s">
        <v>249</v>
      </c>
      <c r="B93" s="38">
        <v>16077964.369999999</v>
      </c>
      <c r="C93" s="39">
        <v>8446173.8800000008</v>
      </c>
      <c r="D93" s="39">
        <v>3912499.03</v>
      </c>
      <c r="E93" s="39">
        <v>3719291.46</v>
      </c>
      <c r="F93" s="69" t="s">
        <v>154</v>
      </c>
      <c r="G93" s="69" t="s">
        <v>153</v>
      </c>
      <c r="H93" t="s">
        <v>173</v>
      </c>
    </row>
    <row r="94" spans="1:8" hidden="1" x14ac:dyDescent="0.25">
      <c r="A94" s="27" t="s">
        <v>250</v>
      </c>
      <c r="B94" s="28">
        <v>51767441.539999999</v>
      </c>
      <c r="C94" s="29">
        <v>16449191.08</v>
      </c>
      <c r="D94" s="29">
        <v>16115964.92</v>
      </c>
      <c r="E94" s="29">
        <v>19202285.539999999</v>
      </c>
      <c r="F94" s="67"/>
      <c r="G94" s="67"/>
    </row>
    <row r="95" spans="1:8" hidden="1" x14ac:dyDescent="0.25">
      <c r="A95" s="27" t="s">
        <v>251</v>
      </c>
      <c r="B95" s="56"/>
      <c r="C95" s="57"/>
      <c r="D95" s="57"/>
      <c r="E95" s="57"/>
      <c r="F95" s="74"/>
      <c r="G95" s="74"/>
    </row>
    <row r="96" spans="1:8" hidden="1" x14ac:dyDescent="0.25">
      <c r="A96" s="27" t="s">
        <v>252</v>
      </c>
      <c r="B96" s="28">
        <v>51767441.539999999</v>
      </c>
      <c r="C96" s="29">
        <v>16449191.08</v>
      </c>
      <c r="D96" s="29">
        <v>16115964.92</v>
      </c>
      <c r="E96" s="29">
        <v>19202285.539999999</v>
      </c>
      <c r="F96" s="67"/>
      <c r="G96" s="67"/>
    </row>
    <row r="97" spans="1:7" hidden="1" x14ac:dyDescent="0.25">
      <c r="A97" s="27" t="s">
        <v>253</v>
      </c>
      <c r="B97" s="44">
        <v>24</v>
      </c>
      <c r="C97" s="45">
        <v>24</v>
      </c>
      <c r="D97" s="45">
        <v>21</v>
      </c>
      <c r="E97" s="45">
        <v>27</v>
      </c>
      <c r="F97" s="71"/>
      <c r="G97" s="71"/>
    </row>
  </sheetData>
  <mergeCells count="6">
    <mergeCell ref="G1:G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4147-4016-4216-A0F1-BEC4D1A95FB7}">
  <dimension ref="A1:C15"/>
  <sheetViews>
    <sheetView workbookViewId="0">
      <selection activeCell="B28" sqref="B28"/>
    </sheetView>
  </sheetViews>
  <sheetFormatPr defaultRowHeight="16.5" x14ac:dyDescent="0.25"/>
  <cols>
    <col min="1" max="1" width="26.265625" customWidth="1"/>
    <col min="2" max="2" width="105.0625" customWidth="1"/>
  </cols>
  <sheetData>
    <row r="1" spans="1:3" ht="24" customHeight="1" x14ac:dyDescent="0.25">
      <c r="A1" s="176" t="s">
        <v>254</v>
      </c>
      <c r="B1" s="124" t="s">
        <v>255</v>
      </c>
    </row>
    <row r="2" spans="1:3" x14ac:dyDescent="0.25">
      <c r="A2" s="176"/>
      <c r="B2" s="124" t="s">
        <v>256</v>
      </c>
    </row>
    <row r="3" spans="1:3" x14ac:dyDescent="0.25">
      <c r="A3" s="176"/>
      <c r="B3" s="124" t="s">
        <v>257</v>
      </c>
    </row>
    <row r="4" spans="1:3" ht="24.75" x14ac:dyDescent="0.35">
      <c r="A4" s="125" t="s">
        <v>258</v>
      </c>
      <c r="B4" s="124" t="s">
        <v>259</v>
      </c>
    </row>
    <row r="5" spans="1:3" ht="24" customHeight="1" x14ac:dyDescent="0.25">
      <c r="A5" s="176" t="s">
        <v>260</v>
      </c>
      <c r="B5" s="124" t="s">
        <v>261</v>
      </c>
    </row>
    <row r="6" spans="1:3" x14ac:dyDescent="0.25">
      <c r="A6" s="176"/>
      <c r="B6" s="124" t="s">
        <v>262</v>
      </c>
    </row>
    <row r="7" spans="1:3" x14ac:dyDescent="0.25">
      <c r="A7" s="176"/>
      <c r="B7" s="124" t="s">
        <v>263</v>
      </c>
    </row>
    <row r="8" spans="1:3" x14ac:dyDescent="0.25">
      <c r="A8" s="176" t="s">
        <v>264</v>
      </c>
      <c r="B8" s="126" t="s">
        <v>265</v>
      </c>
    </row>
    <row r="9" spans="1:3" x14ac:dyDescent="0.25">
      <c r="A9" s="176"/>
      <c r="B9" s="124" t="s">
        <v>266</v>
      </c>
      <c r="C9" t="s">
        <v>173</v>
      </c>
    </row>
    <row r="10" spans="1:3" ht="24" customHeight="1" x14ac:dyDescent="0.25">
      <c r="A10" s="176" t="s">
        <v>267</v>
      </c>
      <c r="B10" s="124" t="s">
        <v>268</v>
      </c>
    </row>
    <row r="11" spans="1:3" ht="15.75" customHeight="1" x14ac:dyDescent="0.25">
      <c r="A11" s="176"/>
      <c r="B11" s="124" t="s">
        <v>269</v>
      </c>
    </row>
    <row r="12" spans="1:3" ht="15.75" customHeight="1" x14ac:dyDescent="0.25">
      <c r="A12" s="176"/>
      <c r="B12" s="127" t="s">
        <v>270</v>
      </c>
    </row>
    <row r="13" spans="1:3" ht="15.75" customHeight="1" x14ac:dyDescent="0.25">
      <c r="A13" s="175" t="s">
        <v>271</v>
      </c>
      <c r="B13" s="66" t="s">
        <v>272</v>
      </c>
    </row>
    <row r="14" spans="1:3" ht="15.75" customHeight="1" x14ac:dyDescent="0.25">
      <c r="A14" s="175"/>
      <c r="B14" s="124" t="s">
        <v>273</v>
      </c>
    </row>
    <row r="15" spans="1:3" ht="15.75" customHeight="1" x14ac:dyDescent="0.25">
      <c r="A15" s="175"/>
      <c r="B15" s="66" t="s">
        <v>274</v>
      </c>
    </row>
  </sheetData>
  <mergeCells count="5">
    <mergeCell ref="A13:A15"/>
    <mergeCell ref="A1:A3"/>
    <mergeCell ref="A5:A7"/>
    <mergeCell ref="A8:A9"/>
    <mergeCell ref="A10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E2E8-1D68-3248-B657-DA099070653C}">
  <dimension ref="C2:O14"/>
  <sheetViews>
    <sheetView topLeftCell="C1" zoomScale="187" zoomScaleNormal="187" workbookViewId="0">
      <selection activeCell="K14" sqref="K14"/>
    </sheetView>
  </sheetViews>
  <sheetFormatPr defaultColWidth="10.97265625" defaultRowHeight="16.5" x14ac:dyDescent="0.25"/>
  <cols>
    <col min="1" max="2" width="0" hidden="1" customWidth="1"/>
    <col min="3" max="3" width="16.64453125" customWidth="1"/>
    <col min="5" max="6" width="14.671875" bestFit="1" customWidth="1"/>
    <col min="7" max="7" width="17.140625" bestFit="1" customWidth="1"/>
    <col min="8" max="8" width="16.02734375" bestFit="1" customWidth="1"/>
    <col min="9" max="9" width="13.5625" bestFit="1" customWidth="1"/>
    <col min="10" max="10" width="16.02734375" bestFit="1" customWidth="1"/>
    <col min="11" max="11" width="17.140625" bestFit="1" customWidth="1"/>
    <col min="12" max="12" width="16.02734375" bestFit="1" customWidth="1"/>
    <col min="13" max="13" width="17.140625" bestFit="1" customWidth="1"/>
    <col min="15" max="15" width="17.6328125" bestFit="1" customWidth="1"/>
  </cols>
  <sheetData>
    <row r="2" spans="3:15" x14ac:dyDescent="0.25">
      <c r="C2" s="3" t="s">
        <v>275</v>
      </c>
      <c r="D2" s="4"/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  <c r="K2" s="3" t="s">
        <v>282</v>
      </c>
      <c r="L2" s="3" t="s">
        <v>283</v>
      </c>
      <c r="M2" s="2" t="s">
        <v>284</v>
      </c>
    </row>
    <row r="3" spans="3:15" ht="42" x14ac:dyDescent="0.25">
      <c r="C3" s="3" t="s">
        <v>285</v>
      </c>
      <c r="D3" s="3" t="s">
        <v>286</v>
      </c>
      <c r="E3" s="4" t="s">
        <v>7</v>
      </c>
      <c r="F3" s="3" t="s">
        <v>7</v>
      </c>
      <c r="G3" s="3" t="s">
        <v>7</v>
      </c>
      <c r="H3" s="4" t="s">
        <v>7</v>
      </c>
      <c r="I3" s="3" t="s">
        <v>7</v>
      </c>
      <c r="J3" s="4" t="s">
        <v>7</v>
      </c>
      <c r="K3" s="3" t="s">
        <v>7</v>
      </c>
      <c r="L3" s="3" t="s">
        <v>7</v>
      </c>
      <c r="M3" s="7" t="s">
        <v>287</v>
      </c>
    </row>
    <row r="4" spans="3:15" x14ac:dyDescent="0.25">
      <c r="C4" s="3">
        <v>2026</v>
      </c>
      <c r="D4" s="3" t="s">
        <v>288</v>
      </c>
      <c r="E4" s="5">
        <v>168593.1</v>
      </c>
      <c r="F4" s="5">
        <v>585311.80000000005</v>
      </c>
      <c r="G4" s="5">
        <v>19637415.399999999</v>
      </c>
      <c r="H4" s="5">
        <v>3767762</v>
      </c>
      <c r="I4" s="5">
        <v>13200</v>
      </c>
      <c r="J4" s="5">
        <v>2753283</v>
      </c>
      <c r="K4" s="5">
        <v>39367500.979999997</v>
      </c>
      <c r="L4" s="5">
        <v>4717565.57</v>
      </c>
      <c r="M4" s="6">
        <v>71010631.969999999</v>
      </c>
      <c r="O4" s="24">
        <f t="shared" ref="O4:O8" si="0">M4/1.2</f>
        <v>59175526.641666666</v>
      </c>
    </row>
    <row r="5" spans="3:15" ht="17.100000000000001" customHeight="1" x14ac:dyDescent="0.25">
      <c r="C5" s="3"/>
      <c r="D5" s="3" t="s">
        <v>289</v>
      </c>
      <c r="E5" s="5">
        <v>10935.4</v>
      </c>
      <c r="F5" s="5">
        <v>570580.80000000005</v>
      </c>
      <c r="G5" s="5">
        <v>20103810</v>
      </c>
      <c r="H5" s="5">
        <v>3499986</v>
      </c>
      <c r="I5" s="5">
        <v>20400</v>
      </c>
      <c r="J5" s="5">
        <v>2553656</v>
      </c>
      <c r="K5" s="5">
        <v>40796208.039999999</v>
      </c>
      <c r="L5" s="5">
        <v>4762543.33</v>
      </c>
      <c r="M5" s="6">
        <v>72318118.900000006</v>
      </c>
      <c r="O5" s="24">
        <f t="shared" si="0"/>
        <v>60265099.083333343</v>
      </c>
    </row>
    <row r="6" spans="3:15" x14ac:dyDescent="0.25">
      <c r="C6" s="3"/>
      <c r="D6" s="3" t="s">
        <v>290</v>
      </c>
      <c r="E6" s="5">
        <v>20381.689999999999</v>
      </c>
      <c r="F6" s="5">
        <v>534825.5</v>
      </c>
      <c r="G6" s="5">
        <v>19805476.600000001</v>
      </c>
      <c r="H6" s="5">
        <v>4095033</v>
      </c>
      <c r="I6" s="5">
        <v>16200</v>
      </c>
      <c r="J6" s="5">
        <v>3399088</v>
      </c>
      <c r="K6" s="5">
        <v>48426615.859999999</v>
      </c>
      <c r="L6" s="5">
        <v>4807578.84</v>
      </c>
      <c r="M6" s="6">
        <v>81105198.969999999</v>
      </c>
      <c r="O6" s="24">
        <f t="shared" si="0"/>
        <v>67587665.808333337</v>
      </c>
    </row>
    <row r="7" spans="3:15" ht="18" customHeight="1" x14ac:dyDescent="0.25">
      <c r="C7" s="3"/>
      <c r="D7" s="3" t="s">
        <v>291</v>
      </c>
      <c r="E7" s="5">
        <v>7212.71</v>
      </c>
      <c r="F7" s="5">
        <v>574516.80000000005</v>
      </c>
      <c r="G7" s="5">
        <v>19692122.600000001</v>
      </c>
      <c r="H7" s="5">
        <v>3786952</v>
      </c>
      <c r="I7" s="5">
        <v>7537</v>
      </c>
      <c r="J7" s="5">
        <v>4283940</v>
      </c>
      <c r="K7" s="5">
        <v>49921440.850000001</v>
      </c>
      <c r="L7" s="5">
        <v>4778944.38</v>
      </c>
      <c r="M7" s="6">
        <v>83052666.159999996</v>
      </c>
      <c r="O7" s="24">
        <f t="shared" si="0"/>
        <v>69210555.13333334</v>
      </c>
    </row>
    <row r="8" spans="3:15" ht="18.95" customHeight="1" x14ac:dyDescent="0.25">
      <c r="C8" s="3"/>
      <c r="D8" s="3" t="s">
        <v>292</v>
      </c>
      <c r="E8" s="5">
        <v>14328</v>
      </c>
      <c r="F8" s="5">
        <v>659404.80000000005</v>
      </c>
      <c r="G8" s="5">
        <v>19602717.300000001</v>
      </c>
      <c r="H8" s="5">
        <v>9104075</v>
      </c>
      <c r="I8" s="5">
        <v>12000</v>
      </c>
      <c r="J8" s="5">
        <v>5323819</v>
      </c>
      <c r="K8" s="5">
        <v>50394756.960000001</v>
      </c>
      <c r="L8" s="5">
        <v>4817011.21</v>
      </c>
      <c r="M8" s="6">
        <v>89928113.079999998</v>
      </c>
      <c r="O8" s="24">
        <f t="shared" si="0"/>
        <v>74940094.233333334</v>
      </c>
    </row>
    <row r="9" spans="3:15" x14ac:dyDescent="0.25">
      <c r="C9" s="3"/>
      <c r="D9" s="3" t="s">
        <v>293</v>
      </c>
      <c r="E9" s="5">
        <v>15264</v>
      </c>
      <c r="F9" s="5">
        <v>654844.80000000005</v>
      </c>
      <c r="G9" s="5">
        <v>20244619.399999999</v>
      </c>
      <c r="H9" s="5">
        <v>5138332</v>
      </c>
      <c r="I9" s="5">
        <v>6600</v>
      </c>
      <c r="J9" s="5">
        <v>4820151</v>
      </c>
      <c r="K9" s="5">
        <v>47292136.259999998</v>
      </c>
      <c r="L9" s="5">
        <v>4910269.8899999997</v>
      </c>
      <c r="M9" s="6">
        <v>83082217.069999993</v>
      </c>
      <c r="O9" s="24">
        <f>M9/1.2</f>
        <v>69235180.891666666</v>
      </c>
    </row>
    <row r="10" spans="3:15" ht="14.1" customHeight="1" x14ac:dyDescent="0.25">
      <c r="C10" s="2"/>
      <c r="D10" s="2"/>
      <c r="E10" s="3" t="s">
        <v>276</v>
      </c>
      <c r="F10" s="3" t="s">
        <v>277</v>
      </c>
      <c r="G10" s="3" t="s">
        <v>278</v>
      </c>
      <c r="H10" s="3" t="s">
        <v>279</v>
      </c>
      <c r="I10" s="3" t="s">
        <v>280</v>
      </c>
      <c r="J10" s="3" t="s">
        <v>281</v>
      </c>
      <c r="K10" s="3" t="s">
        <v>282</v>
      </c>
      <c r="L10" s="3" t="s">
        <v>283</v>
      </c>
    </row>
    <row r="11" spans="3:15" ht="17.100000000000001" customHeight="1" x14ac:dyDescent="0.25">
      <c r="C11" s="2" t="s">
        <v>294</v>
      </c>
      <c r="D11" s="2" t="s">
        <v>295</v>
      </c>
      <c r="E11" s="21">
        <f>SUM(E4:E9)/SUM($M$4:$M$9)</f>
        <v>4.9264600305306226E-4</v>
      </c>
      <c r="F11" s="21">
        <f t="shared" ref="F11:L11" si="1">SUM(F4:F9)/SUM($M$4:$M$9)</f>
        <v>7.4495468258034842E-3</v>
      </c>
      <c r="G11" s="21">
        <f t="shared" si="1"/>
        <v>0.24783957994776526</v>
      </c>
      <c r="H11" s="21">
        <f t="shared" si="1"/>
        <v>6.117029511947087E-2</v>
      </c>
      <c r="I11" s="21">
        <f t="shared" si="1"/>
        <v>1.580384654022218E-4</v>
      </c>
      <c r="J11" s="21">
        <f t="shared" si="1"/>
        <v>4.8145856462484413E-2</v>
      </c>
      <c r="K11" s="21">
        <f t="shared" si="1"/>
        <v>0.57481876037517454</v>
      </c>
      <c r="L11" s="21">
        <f t="shared" si="1"/>
        <v>5.9925278299294775E-2</v>
      </c>
    </row>
    <row r="12" spans="3:15" x14ac:dyDescent="0.25">
      <c r="C12" s="61" t="s">
        <v>296</v>
      </c>
      <c r="D12" s="62" t="s">
        <v>295</v>
      </c>
      <c r="E12" s="63">
        <v>0.8</v>
      </c>
      <c r="F12" s="63">
        <v>0.4</v>
      </c>
      <c r="G12" s="63">
        <v>0.8</v>
      </c>
      <c r="H12" s="63">
        <v>0.1</v>
      </c>
      <c r="I12" s="63">
        <v>0.2</v>
      </c>
      <c r="J12" s="63">
        <v>0.4</v>
      </c>
      <c r="K12" s="63">
        <v>0.48</v>
      </c>
      <c r="L12" s="63">
        <v>0.8</v>
      </c>
    </row>
    <row r="13" spans="3:1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3:15" x14ac:dyDescent="0.25">
      <c r="C14" s="2" t="s">
        <v>297</v>
      </c>
      <c r="D14" s="2" t="s">
        <v>295</v>
      </c>
      <c r="E14" s="22">
        <f>E11*E12/SUMPRODUCT($E$11:$L$11,$E$12:$L$12)</f>
        <v>7.1539780032418452E-4</v>
      </c>
      <c r="F14" s="22">
        <f t="shared" ref="F14:L14" si="2">F11*F12/SUMPRODUCT($E$11:$L$11,$E$12:$L$12)</f>
        <v>5.4089441298256127E-3</v>
      </c>
      <c r="G14" s="22">
        <f t="shared" si="2"/>
        <v>0.35990120538703319</v>
      </c>
      <c r="H14" s="22">
        <f>H11*H12/SUMPRODUCT($E$11:$L$11,$E$12:$L$12)</f>
        <v>1.1103585105342165E-2</v>
      </c>
      <c r="I14" s="22">
        <f t="shared" si="2"/>
        <v>5.7374042321815821E-5</v>
      </c>
      <c r="J14" s="22">
        <f>J11*J12/SUMPRODUCT($E$11:$L$11,$E$12:$L$12)</f>
        <v>3.4957595915251355E-2</v>
      </c>
      <c r="K14" s="22">
        <f t="shared" si="2"/>
        <v>0.5008351727719369</v>
      </c>
      <c r="L14" s="22">
        <f t="shared" si="2"/>
        <v>8.7020724847964623E-2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3531-B8C5-1E49-9D03-7B64A9F0928B}">
  <dimension ref="A2:T55"/>
  <sheetViews>
    <sheetView topLeftCell="A3" workbookViewId="0">
      <selection activeCell="P13" sqref="P13"/>
    </sheetView>
  </sheetViews>
  <sheetFormatPr defaultColWidth="10.97265625" defaultRowHeight="16.5" x14ac:dyDescent="0.25"/>
  <cols>
    <col min="1" max="1" width="19.359375" customWidth="1"/>
    <col min="2" max="2" width="22.93359375" customWidth="1"/>
    <col min="3" max="3" width="27.12890625" customWidth="1"/>
    <col min="4" max="4" width="33.046875" customWidth="1"/>
  </cols>
  <sheetData>
    <row r="2" spans="1:20" x14ac:dyDescent="0.25">
      <c r="E2" t="s">
        <v>298</v>
      </c>
    </row>
    <row r="3" spans="1:20" x14ac:dyDescent="0.25">
      <c r="A3" s="2" t="s">
        <v>299</v>
      </c>
      <c r="B3" s="2"/>
      <c r="C3" s="2"/>
      <c r="D3" s="2"/>
      <c r="E3" s="2">
        <v>1</v>
      </c>
    </row>
    <row r="4" spans="1:20" ht="18" customHeight="1" x14ac:dyDescent="0.25">
      <c r="B4" s="20" t="s">
        <v>300</v>
      </c>
      <c r="C4" s="20"/>
      <c r="D4" s="20"/>
      <c r="E4" s="20">
        <v>1</v>
      </c>
      <c r="T4" t="s">
        <v>71</v>
      </c>
    </row>
    <row r="5" spans="1:20" x14ac:dyDescent="0.25">
      <c r="B5" s="2"/>
      <c r="C5" s="2" t="s">
        <v>301</v>
      </c>
      <c r="D5" s="2"/>
      <c r="E5" s="2"/>
    </row>
    <row r="7" spans="1:20" x14ac:dyDescent="0.25">
      <c r="B7" s="2" t="s">
        <v>302</v>
      </c>
      <c r="C7" s="2"/>
      <c r="D7" s="2"/>
      <c r="E7" s="2">
        <v>1</v>
      </c>
    </row>
    <row r="8" spans="1:20" x14ac:dyDescent="0.25">
      <c r="B8" s="2"/>
      <c r="C8" s="2" t="s">
        <v>303</v>
      </c>
      <c r="D8" s="2"/>
      <c r="E8" s="2">
        <v>1</v>
      </c>
    </row>
    <row r="9" spans="1:20" x14ac:dyDescent="0.25">
      <c r="B9" s="2"/>
      <c r="C9" s="2"/>
      <c r="D9" s="2" t="s">
        <v>304</v>
      </c>
      <c r="E9" s="2">
        <v>14</v>
      </c>
    </row>
    <row r="10" spans="1:20" x14ac:dyDescent="0.25">
      <c r="B10" s="2"/>
      <c r="C10" s="2"/>
      <c r="D10" s="2" t="s">
        <v>305</v>
      </c>
      <c r="E10" s="2">
        <v>5</v>
      </c>
    </row>
    <row r="11" spans="1:20" x14ac:dyDescent="0.25">
      <c r="B11" s="2"/>
      <c r="C11" s="2" t="s">
        <v>306</v>
      </c>
      <c r="D11" s="2"/>
      <c r="E11" s="2"/>
    </row>
    <row r="12" spans="1:20" x14ac:dyDescent="0.25">
      <c r="B12" s="2"/>
      <c r="C12" s="2"/>
      <c r="D12" s="2" t="s">
        <v>307</v>
      </c>
      <c r="E12" s="2">
        <v>7</v>
      </c>
    </row>
    <row r="13" spans="1:20" x14ac:dyDescent="0.25">
      <c r="B13" s="2"/>
      <c r="C13" s="2" t="s">
        <v>308</v>
      </c>
      <c r="D13" s="2"/>
      <c r="E13" s="2"/>
    </row>
    <row r="14" spans="1:20" x14ac:dyDescent="0.25">
      <c r="B14" s="2"/>
      <c r="C14" s="2"/>
      <c r="D14" s="2" t="s">
        <v>309</v>
      </c>
      <c r="E14" s="2">
        <v>2</v>
      </c>
    </row>
    <row r="16" spans="1:20" x14ac:dyDescent="0.25">
      <c r="B16" s="2" t="s">
        <v>310</v>
      </c>
      <c r="C16" s="2"/>
      <c r="D16" s="2"/>
      <c r="E16" s="2">
        <v>1</v>
      </c>
    </row>
    <row r="17" spans="2:5" x14ac:dyDescent="0.25">
      <c r="B17" s="2"/>
      <c r="C17" s="2" t="s">
        <v>311</v>
      </c>
      <c r="D17" s="2"/>
      <c r="E17" s="2">
        <v>1</v>
      </c>
    </row>
    <row r="18" spans="2:5" x14ac:dyDescent="0.25">
      <c r="B18" s="2"/>
      <c r="C18" s="2"/>
      <c r="D18" s="2" t="s">
        <v>312</v>
      </c>
      <c r="E18" s="2">
        <v>4</v>
      </c>
    </row>
    <row r="19" spans="2:5" x14ac:dyDescent="0.25">
      <c r="B19" s="2"/>
      <c r="C19" s="2" t="s">
        <v>313</v>
      </c>
      <c r="D19" s="2"/>
      <c r="E19" s="2">
        <v>1</v>
      </c>
    </row>
    <row r="20" spans="2:5" x14ac:dyDescent="0.25">
      <c r="B20" s="2"/>
      <c r="C20" s="2"/>
      <c r="D20" s="2" t="s">
        <v>314</v>
      </c>
      <c r="E20" s="2">
        <v>2</v>
      </c>
    </row>
    <row r="21" spans="2:5" x14ac:dyDescent="0.25">
      <c r="B21" s="2"/>
      <c r="C21" s="2" t="s">
        <v>315</v>
      </c>
      <c r="D21" s="2"/>
      <c r="E21" s="2">
        <v>1</v>
      </c>
    </row>
    <row r="22" spans="2:5" x14ac:dyDescent="0.25">
      <c r="B22" s="2"/>
      <c r="C22" s="2"/>
      <c r="D22" s="2" t="s">
        <v>316</v>
      </c>
      <c r="E22" s="2">
        <v>3</v>
      </c>
    </row>
    <row r="23" spans="2:5" x14ac:dyDescent="0.25">
      <c r="B23" s="2"/>
      <c r="C23" s="2" t="s">
        <v>317</v>
      </c>
      <c r="D23" s="2"/>
      <c r="E23" s="2">
        <v>1</v>
      </c>
    </row>
    <row r="24" spans="2:5" x14ac:dyDescent="0.25">
      <c r="B24" s="2"/>
      <c r="C24" s="2"/>
      <c r="D24" s="2" t="s">
        <v>318</v>
      </c>
      <c r="E24" s="2">
        <v>10</v>
      </c>
    </row>
    <row r="25" spans="2:5" x14ac:dyDescent="0.25">
      <c r="B25" s="2"/>
      <c r="C25" s="2" t="s">
        <v>319</v>
      </c>
      <c r="D25" s="2"/>
      <c r="E25" s="2">
        <v>1</v>
      </c>
    </row>
    <row r="26" spans="2:5" x14ac:dyDescent="0.25">
      <c r="B26" s="2"/>
      <c r="C26" s="2"/>
      <c r="D26" s="2" t="s">
        <v>320</v>
      </c>
      <c r="E26" s="2">
        <v>5</v>
      </c>
    </row>
    <row r="27" spans="2:5" x14ac:dyDescent="0.25">
      <c r="B27" s="2"/>
      <c r="C27" s="2"/>
      <c r="D27" s="2" t="s">
        <v>321</v>
      </c>
      <c r="E27" s="2">
        <v>5</v>
      </c>
    </row>
    <row r="28" spans="2:5" x14ac:dyDescent="0.25">
      <c r="B28" s="2"/>
      <c r="C28" s="2"/>
      <c r="D28" s="2" t="s">
        <v>322</v>
      </c>
      <c r="E28" s="2">
        <v>3</v>
      </c>
    </row>
    <row r="29" spans="2:5" x14ac:dyDescent="0.25">
      <c r="B29" s="2"/>
      <c r="C29" s="2"/>
      <c r="D29" s="2" t="s">
        <v>323</v>
      </c>
      <c r="E29" s="2">
        <v>9</v>
      </c>
    </row>
    <row r="30" spans="2:5" x14ac:dyDescent="0.25">
      <c r="B30" s="2"/>
      <c r="C30" s="2"/>
      <c r="D30" s="2" t="s">
        <v>324</v>
      </c>
      <c r="E30" s="2">
        <v>4</v>
      </c>
    </row>
    <row r="31" spans="2:5" x14ac:dyDescent="0.25">
      <c r="B31" s="2"/>
      <c r="C31" s="2"/>
      <c r="D31" s="2" t="s">
        <v>325</v>
      </c>
      <c r="E31" s="2">
        <v>4</v>
      </c>
    </row>
    <row r="32" spans="2:5" x14ac:dyDescent="0.25">
      <c r="B32" s="2"/>
      <c r="C32" s="2"/>
      <c r="D32" s="2" t="s">
        <v>326</v>
      </c>
      <c r="E32" s="2">
        <v>4</v>
      </c>
    </row>
    <row r="33" spans="2:5" x14ac:dyDescent="0.25">
      <c r="B33" s="2"/>
      <c r="C33" s="2"/>
      <c r="D33" s="2" t="s">
        <v>327</v>
      </c>
      <c r="E33" s="2">
        <v>3</v>
      </c>
    </row>
    <row r="35" spans="2:5" x14ac:dyDescent="0.25">
      <c r="B35" s="2" t="s">
        <v>328</v>
      </c>
      <c r="C35" s="2"/>
      <c r="D35" s="2"/>
      <c r="E35" s="2">
        <v>1</v>
      </c>
    </row>
    <row r="36" spans="2:5" x14ac:dyDescent="0.25">
      <c r="B36" s="2"/>
      <c r="C36" s="2"/>
      <c r="D36" s="2" t="s">
        <v>329</v>
      </c>
      <c r="E36" s="2">
        <v>3</v>
      </c>
    </row>
    <row r="38" spans="2:5" x14ac:dyDescent="0.25">
      <c r="B38" s="2" t="s">
        <v>330</v>
      </c>
      <c r="C38" s="2"/>
      <c r="D38" s="2"/>
      <c r="E38" s="2">
        <v>1</v>
      </c>
    </row>
    <row r="39" spans="2:5" x14ac:dyDescent="0.25">
      <c r="B39" s="2"/>
      <c r="C39" s="2" t="s">
        <v>331</v>
      </c>
      <c r="D39" s="2"/>
      <c r="E39" s="2">
        <v>1</v>
      </c>
    </row>
    <row r="40" spans="2:5" x14ac:dyDescent="0.25">
      <c r="B40" s="2"/>
      <c r="C40" s="2"/>
      <c r="D40" s="2" t="s">
        <v>332</v>
      </c>
      <c r="E40" s="2">
        <v>27</v>
      </c>
    </row>
    <row r="41" spans="2:5" x14ac:dyDescent="0.25">
      <c r="B41" s="2"/>
      <c r="C41" s="2" t="s">
        <v>333</v>
      </c>
      <c r="D41" s="2"/>
      <c r="E41" s="2">
        <v>1</v>
      </c>
    </row>
    <row r="42" spans="2:5" x14ac:dyDescent="0.25">
      <c r="B42" s="2"/>
      <c r="C42" s="2"/>
      <c r="D42" s="2" t="s">
        <v>334</v>
      </c>
      <c r="E42" s="2">
        <v>8</v>
      </c>
    </row>
    <row r="43" spans="2:5" x14ac:dyDescent="0.25">
      <c r="B43" s="2"/>
      <c r="C43" s="2" t="s">
        <v>335</v>
      </c>
      <c r="D43" s="2"/>
      <c r="E43" s="2">
        <v>1</v>
      </c>
    </row>
    <row r="44" spans="2:5" x14ac:dyDescent="0.25">
      <c r="B44" s="2"/>
      <c r="C44" s="2"/>
      <c r="D44" s="2" t="s">
        <v>336</v>
      </c>
      <c r="E44" s="2">
        <v>8</v>
      </c>
    </row>
    <row r="45" spans="2:5" x14ac:dyDescent="0.25">
      <c r="B45" s="2"/>
      <c r="C45" s="2" t="s">
        <v>337</v>
      </c>
      <c r="D45" s="2"/>
      <c r="E45" s="2">
        <v>1</v>
      </c>
    </row>
    <row r="46" spans="2:5" x14ac:dyDescent="0.25">
      <c r="B46" s="2"/>
      <c r="C46" s="2"/>
      <c r="D46" s="2" t="s">
        <v>338</v>
      </c>
      <c r="E46" s="2">
        <v>3</v>
      </c>
    </row>
    <row r="48" spans="2:5" x14ac:dyDescent="0.25">
      <c r="B48" s="2" t="s">
        <v>339</v>
      </c>
      <c r="C48" s="2"/>
      <c r="D48" s="2"/>
      <c r="E48" s="2">
        <v>1</v>
      </c>
    </row>
    <row r="49" spans="2:5" x14ac:dyDescent="0.25">
      <c r="B49" s="2"/>
      <c r="C49" s="2"/>
      <c r="D49" s="2" t="s">
        <v>340</v>
      </c>
      <c r="E49" s="2">
        <v>4</v>
      </c>
    </row>
    <row r="51" spans="2:5" x14ac:dyDescent="0.25">
      <c r="B51" s="2" t="s">
        <v>341</v>
      </c>
      <c r="C51" s="2"/>
      <c r="D51" s="2"/>
      <c r="E51" s="2"/>
    </row>
    <row r="52" spans="2:5" x14ac:dyDescent="0.25">
      <c r="B52" s="2"/>
      <c r="C52" s="2" t="s">
        <v>342</v>
      </c>
      <c r="D52" s="2"/>
      <c r="E52" s="2"/>
    </row>
    <row r="53" spans="2:5" x14ac:dyDescent="0.25">
      <c r="B53" s="2"/>
      <c r="C53" s="2"/>
      <c r="D53" s="2" t="s">
        <v>343</v>
      </c>
      <c r="E53" s="2">
        <v>3</v>
      </c>
    </row>
    <row r="54" spans="2:5" x14ac:dyDescent="0.25">
      <c r="B54" s="2"/>
      <c r="C54" s="2" t="s">
        <v>344</v>
      </c>
      <c r="D54" s="2"/>
      <c r="E54" s="2">
        <v>1</v>
      </c>
    </row>
    <row r="55" spans="2:5" x14ac:dyDescent="0.25">
      <c r="B55" s="2"/>
      <c r="C55" s="2"/>
      <c r="D55" s="2" t="s">
        <v>345</v>
      </c>
      <c r="E5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5D07-075C-664D-A419-7A91A725C970}">
  <dimension ref="A1:I94"/>
  <sheetViews>
    <sheetView topLeftCell="A2" workbookViewId="0">
      <selection activeCell="B52" sqref="B52"/>
    </sheetView>
  </sheetViews>
  <sheetFormatPr defaultColWidth="7.02734375" defaultRowHeight="11.45" customHeight="1" outlineLevelRow="3" x14ac:dyDescent="0.25"/>
  <cols>
    <col min="1" max="1" width="1.97265625" style="25" customWidth="1"/>
    <col min="2" max="2" width="40.81640625" style="25" customWidth="1"/>
    <col min="3" max="6" width="11.34375" style="25" hidden="1" customWidth="1"/>
    <col min="7" max="7" width="10.234375" style="25" customWidth="1"/>
    <col min="8" max="8" width="11.34375" style="25" customWidth="1"/>
    <col min="9" max="9" width="58.6953125" customWidth="1"/>
    <col min="13" max="13" width="11.09765625" bestFit="1" customWidth="1"/>
    <col min="14" max="14" width="16.3984375" customWidth="1"/>
    <col min="15" max="15" width="15.2890625" customWidth="1"/>
  </cols>
  <sheetData>
    <row r="1" spans="1:9" s="25" customFormat="1" ht="3.95" customHeight="1" x14ac:dyDescent="0.25"/>
    <row r="2" spans="1:9" ht="11.1" customHeight="1" x14ac:dyDescent="0.25">
      <c r="A2" s="177"/>
      <c r="B2" s="177"/>
      <c r="C2" s="129" t="s">
        <v>139</v>
      </c>
      <c r="D2" s="132" t="s">
        <v>140</v>
      </c>
      <c r="E2" s="132" t="s">
        <v>141</v>
      </c>
      <c r="F2" s="132" t="s">
        <v>142</v>
      </c>
      <c r="G2" s="135" t="s">
        <v>143</v>
      </c>
      <c r="H2" s="128" t="s">
        <v>144</v>
      </c>
    </row>
    <row r="3" spans="1:9" ht="11.1" customHeight="1" x14ac:dyDescent="0.25">
      <c r="A3" s="178"/>
      <c r="B3" s="179"/>
      <c r="C3" s="130"/>
      <c r="D3" s="133"/>
      <c r="E3" s="133"/>
      <c r="F3" s="133"/>
      <c r="G3" s="135"/>
      <c r="H3" s="128"/>
    </row>
    <row r="4" spans="1:9" ht="11.1" customHeight="1" x14ac:dyDescent="0.25">
      <c r="A4" s="180"/>
      <c r="B4" s="181"/>
      <c r="C4" s="131"/>
      <c r="D4" s="134"/>
      <c r="E4" s="134"/>
      <c r="F4" s="134"/>
      <c r="G4" s="135"/>
      <c r="H4" s="128"/>
    </row>
    <row r="5" spans="1:9" s="25" customFormat="1" ht="17.100000000000001" customHeight="1" x14ac:dyDescent="0.25">
      <c r="A5" s="26"/>
      <c r="B5" s="27" t="s">
        <v>145</v>
      </c>
      <c r="C5" s="28">
        <v>216713807.00999999</v>
      </c>
      <c r="D5" s="29">
        <v>69964266.379999995</v>
      </c>
      <c r="E5" s="29">
        <v>75720384.359999999</v>
      </c>
      <c r="F5" s="29">
        <v>71029156.269999996</v>
      </c>
      <c r="G5" s="67"/>
      <c r="H5" s="67"/>
    </row>
    <row r="6" spans="1:9" s="25" customFormat="1" ht="17.100000000000001" customHeight="1" outlineLevel="1" x14ac:dyDescent="0.25">
      <c r="A6" s="30"/>
      <c r="B6" s="31" t="s">
        <v>146</v>
      </c>
      <c r="C6" s="32">
        <v>132806004.23999999</v>
      </c>
      <c r="D6" s="33">
        <v>44897287.969999999</v>
      </c>
      <c r="E6" s="33">
        <v>45371489.659999996</v>
      </c>
      <c r="F6" s="33">
        <v>42537226.609999999</v>
      </c>
      <c r="G6" s="68"/>
      <c r="H6" s="68"/>
    </row>
    <row r="7" spans="1:9" s="25" customFormat="1" ht="17.100000000000001" customHeight="1" outlineLevel="1" x14ac:dyDescent="0.25">
      <c r="A7" s="30"/>
      <c r="B7" s="31" t="s">
        <v>147</v>
      </c>
      <c r="C7" s="32">
        <v>76013560.75</v>
      </c>
      <c r="D7" s="33">
        <v>25026532.399999999</v>
      </c>
      <c r="E7" s="33">
        <v>24956776.960000001</v>
      </c>
      <c r="F7" s="33">
        <v>26030251.390000001</v>
      </c>
      <c r="G7" s="68"/>
      <c r="H7" s="68"/>
    </row>
    <row r="8" spans="1:9" s="25" customFormat="1" ht="17.100000000000001" customHeight="1" outlineLevel="1" x14ac:dyDescent="0.25">
      <c r="A8" s="30"/>
      <c r="B8" s="31" t="s">
        <v>148</v>
      </c>
      <c r="C8" s="32">
        <v>7894242.0199999996</v>
      </c>
      <c r="D8" s="33">
        <v>40446.01</v>
      </c>
      <c r="E8" s="33">
        <v>5392117.7400000002</v>
      </c>
      <c r="F8" s="33">
        <v>2461678.27</v>
      </c>
      <c r="G8" s="68"/>
      <c r="H8" s="68"/>
    </row>
    <row r="9" spans="1:9" s="25" customFormat="1" ht="17.100000000000001" customHeight="1" x14ac:dyDescent="0.25">
      <c r="A9" s="26"/>
      <c r="B9" s="27" t="s">
        <v>149</v>
      </c>
      <c r="C9" s="28">
        <v>78140949.519999996</v>
      </c>
      <c r="D9" s="29">
        <v>22877127.52</v>
      </c>
      <c r="E9" s="29">
        <v>32602286.800000001</v>
      </c>
      <c r="F9" s="29">
        <v>22661535.199999999</v>
      </c>
      <c r="G9" s="67"/>
      <c r="H9" s="67"/>
    </row>
    <row r="10" spans="1:9" s="25" customFormat="1" ht="17.100000000000001" customHeight="1" outlineLevel="1" x14ac:dyDescent="0.25">
      <c r="A10" s="34"/>
      <c r="B10" s="35" t="s">
        <v>150</v>
      </c>
      <c r="C10" s="28">
        <v>17323743.890000001</v>
      </c>
      <c r="D10" s="29">
        <v>5752115.3600000003</v>
      </c>
      <c r="E10" s="29">
        <v>5798315.9900000002</v>
      </c>
      <c r="F10" s="29">
        <v>5773312.54</v>
      </c>
      <c r="G10" s="67"/>
      <c r="H10" s="67"/>
    </row>
    <row r="11" spans="1:9" s="25" customFormat="1" ht="17.100000000000001" customHeight="1" outlineLevel="2" x14ac:dyDescent="0.25">
      <c r="A11" s="36"/>
      <c r="B11" s="37" t="s">
        <v>151</v>
      </c>
      <c r="C11" s="38">
        <v>4484877.6399999997</v>
      </c>
      <c r="D11" s="39">
        <v>1587160.85</v>
      </c>
      <c r="E11" s="39">
        <v>1582508.34</v>
      </c>
      <c r="F11" s="39">
        <v>1315208.45</v>
      </c>
      <c r="G11" s="69"/>
      <c r="H11" s="69"/>
    </row>
    <row r="12" spans="1:9" s="25" customFormat="1" ht="17.100000000000001" customHeight="1" outlineLevel="2" x14ac:dyDescent="0.25">
      <c r="A12" s="36"/>
      <c r="B12" s="37" t="s">
        <v>156</v>
      </c>
      <c r="C12" s="38">
        <v>2439518.1800000002</v>
      </c>
      <c r="D12" s="39">
        <v>797000</v>
      </c>
      <c r="E12" s="39">
        <v>815000</v>
      </c>
      <c r="F12" s="39">
        <v>827518.18</v>
      </c>
      <c r="G12" s="75" t="s">
        <v>346</v>
      </c>
      <c r="H12" s="75" t="s">
        <v>347</v>
      </c>
    </row>
    <row r="13" spans="1:9" s="25" customFormat="1" ht="17.100000000000001" customHeight="1" outlineLevel="2" x14ac:dyDescent="0.25">
      <c r="A13" s="36"/>
      <c r="B13" s="37" t="s">
        <v>161</v>
      </c>
      <c r="C13" s="38">
        <v>1912936</v>
      </c>
      <c r="D13" s="39">
        <v>610682</v>
      </c>
      <c r="E13" s="39">
        <v>580000</v>
      </c>
      <c r="F13" s="39">
        <v>722254</v>
      </c>
      <c r="G13" s="76" t="s">
        <v>346</v>
      </c>
      <c r="H13" s="75" t="s">
        <v>348</v>
      </c>
    </row>
    <row r="14" spans="1:9" s="25" customFormat="1" ht="17.100000000000001" customHeight="1" outlineLevel="2" x14ac:dyDescent="0.25">
      <c r="A14" s="36"/>
      <c r="B14" s="37" t="s">
        <v>167</v>
      </c>
      <c r="C14" s="38">
        <v>1211460.2</v>
      </c>
      <c r="D14" s="39">
        <v>405760.42</v>
      </c>
      <c r="E14" s="39">
        <v>402420.12</v>
      </c>
      <c r="F14" s="39">
        <v>403279.66</v>
      </c>
      <c r="G14" s="69"/>
      <c r="H14" s="69"/>
    </row>
    <row r="15" spans="1:9" s="25" customFormat="1" ht="17.100000000000001" customHeight="1" outlineLevel="2" x14ac:dyDescent="0.25">
      <c r="A15" s="36"/>
      <c r="B15" s="37" t="s">
        <v>171</v>
      </c>
      <c r="C15" s="38">
        <v>7274951.8700000001</v>
      </c>
      <c r="D15" s="39">
        <v>2351512.09</v>
      </c>
      <c r="E15" s="39">
        <v>2418387.5299999998</v>
      </c>
      <c r="F15" s="39">
        <v>2505052.25</v>
      </c>
      <c r="G15" s="69" t="s">
        <v>152</v>
      </c>
      <c r="H15" s="69"/>
      <c r="I15" s="25" t="s">
        <v>349</v>
      </c>
    </row>
    <row r="16" spans="1:9" s="25" customFormat="1" ht="17.100000000000001" customHeight="1" outlineLevel="1" x14ac:dyDescent="0.25">
      <c r="A16" s="40"/>
      <c r="B16" s="41" t="s">
        <v>172</v>
      </c>
      <c r="C16" s="38">
        <v>3200736.35</v>
      </c>
      <c r="D16" s="39">
        <v>1029711.76</v>
      </c>
      <c r="E16" s="39">
        <v>1030975.74</v>
      </c>
      <c r="F16" s="39">
        <v>1140048.8500000001</v>
      </c>
      <c r="G16" s="69"/>
      <c r="H16" s="69"/>
    </row>
    <row r="17" spans="1:9" s="25" customFormat="1" ht="17.100000000000001" customHeight="1" outlineLevel="1" x14ac:dyDescent="0.25">
      <c r="A17" s="40"/>
      <c r="B17" s="41" t="s">
        <v>174</v>
      </c>
      <c r="C17" s="38">
        <v>16388919.99</v>
      </c>
      <c r="D17" s="39">
        <v>5273619.41</v>
      </c>
      <c r="E17" s="39">
        <v>5482073.0300000003</v>
      </c>
      <c r="F17" s="39">
        <v>5633227.5499999998</v>
      </c>
      <c r="G17" s="69"/>
      <c r="H17" s="69"/>
      <c r="I17" s="25" t="s">
        <v>349</v>
      </c>
    </row>
    <row r="18" spans="1:9" s="25" customFormat="1" ht="17.100000000000001" customHeight="1" outlineLevel="1" x14ac:dyDescent="0.25">
      <c r="A18" s="40"/>
      <c r="B18" s="41" t="s">
        <v>175</v>
      </c>
      <c r="C18" s="38">
        <v>1651176.66</v>
      </c>
      <c r="D18" s="39">
        <v>266106.7</v>
      </c>
      <c r="E18" s="39">
        <v>1104622.0800000001</v>
      </c>
      <c r="F18" s="39">
        <v>280447.88</v>
      </c>
      <c r="G18" s="69"/>
      <c r="H18" s="69"/>
      <c r="I18" s="25" t="s">
        <v>349</v>
      </c>
    </row>
    <row r="19" spans="1:9" s="25" customFormat="1" ht="17.100000000000001" customHeight="1" outlineLevel="1" x14ac:dyDescent="0.25">
      <c r="A19" s="40"/>
      <c r="B19" s="41" t="s">
        <v>176</v>
      </c>
      <c r="C19" s="38">
        <v>3916505.53</v>
      </c>
      <c r="D19" s="39">
        <v>1614131.69</v>
      </c>
      <c r="E19" s="39">
        <v>1127256.17</v>
      </c>
      <c r="F19" s="39">
        <v>1175117.67</v>
      </c>
      <c r="G19" s="69"/>
      <c r="H19" s="69"/>
    </row>
    <row r="20" spans="1:9" s="25" customFormat="1" ht="17.100000000000001" customHeight="1" outlineLevel="1" x14ac:dyDescent="0.25">
      <c r="A20" s="40"/>
      <c r="B20" s="41" t="s">
        <v>177</v>
      </c>
      <c r="C20" s="38">
        <v>26959720.18</v>
      </c>
      <c r="D20" s="39">
        <v>7073259.4400000004</v>
      </c>
      <c r="E20" s="39">
        <v>13101578.58</v>
      </c>
      <c r="F20" s="39">
        <v>6784882.1600000001</v>
      </c>
      <c r="G20" s="69"/>
      <c r="H20" s="69"/>
      <c r="I20" s="25" t="s">
        <v>350</v>
      </c>
    </row>
    <row r="21" spans="1:9" s="25" customFormat="1" ht="17.100000000000001" customHeight="1" outlineLevel="1" x14ac:dyDescent="0.25">
      <c r="A21" s="40"/>
      <c r="B21" s="41" t="s">
        <v>178</v>
      </c>
      <c r="C21" s="38">
        <v>915950.46</v>
      </c>
      <c r="D21" s="39">
        <v>115869.31</v>
      </c>
      <c r="E21" s="39">
        <v>198654.21</v>
      </c>
      <c r="F21" s="39">
        <v>601426.93999999994</v>
      </c>
      <c r="G21" s="69"/>
      <c r="H21" s="69"/>
    </row>
    <row r="22" spans="1:9" s="25" customFormat="1" ht="17.100000000000001" customHeight="1" outlineLevel="1" x14ac:dyDescent="0.25">
      <c r="A22" s="40"/>
      <c r="B22" s="41" t="s">
        <v>179</v>
      </c>
      <c r="C22" s="38">
        <v>7784196.46</v>
      </c>
      <c r="D22" s="39">
        <v>1752313.85</v>
      </c>
      <c r="E22" s="39">
        <v>4758811</v>
      </c>
      <c r="F22" s="39">
        <v>1273071.6100000001</v>
      </c>
      <c r="G22" s="69"/>
      <c r="H22" s="69"/>
      <c r="I22" s="25" t="s">
        <v>351</v>
      </c>
    </row>
    <row r="23" spans="1:9" s="25" customFormat="1" ht="17.100000000000001" customHeight="1" outlineLevel="1" x14ac:dyDescent="0.25">
      <c r="A23" s="30"/>
      <c r="B23" s="31" t="s">
        <v>180</v>
      </c>
      <c r="C23" s="42"/>
      <c r="D23" s="43"/>
      <c r="E23" s="43"/>
      <c r="F23" s="43"/>
      <c r="G23" s="70"/>
      <c r="H23" s="70"/>
    </row>
    <row r="24" spans="1:9" s="25" customFormat="1" ht="17.100000000000001" customHeight="1" x14ac:dyDescent="0.25">
      <c r="A24" s="26"/>
      <c r="B24" s="27" t="s">
        <v>181</v>
      </c>
      <c r="C24" s="28">
        <v>138572857.49000001</v>
      </c>
      <c r="D24" s="29">
        <v>47087138.859999999</v>
      </c>
      <c r="E24" s="29">
        <v>43118097.560000002</v>
      </c>
      <c r="F24" s="29">
        <v>48367621.07</v>
      </c>
      <c r="G24" s="67"/>
      <c r="H24" s="67"/>
    </row>
    <row r="25" spans="1:9" s="25" customFormat="1" ht="17.100000000000001" customHeight="1" x14ac:dyDescent="0.25">
      <c r="A25" s="26"/>
      <c r="B25" s="27" t="s">
        <v>182</v>
      </c>
      <c r="C25" s="44">
        <v>64</v>
      </c>
      <c r="D25" s="45">
        <v>67</v>
      </c>
      <c r="E25" s="45">
        <v>57</v>
      </c>
      <c r="F25" s="45">
        <v>68</v>
      </c>
      <c r="G25" s="71"/>
      <c r="H25" s="71"/>
    </row>
    <row r="26" spans="1:9" s="25" customFormat="1" ht="17.100000000000001" customHeight="1" x14ac:dyDescent="0.25">
      <c r="A26" s="26"/>
      <c r="B26" s="27" t="s">
        <v>183</v>
      </c>
      <c r="C26" s="28">
        <v>56710395.049999997</v>
      </c>
      <c r="D26" s="29">
        <v>17213074.449999999</v>
      </c>
      <c r="E26" s="29">
        <v>18535797.32</v>
      </c>
      <c r="F26" s="29">
        <v>20961523.280000001</v>
      </c>
      <c r="G26" s="67"/>
      <c r="H26" s="67"/>
    </row>
    <row r="27" spans="1:9" s="25" customFormat="1" ht="17.100000000000001" customHeight="1" outlineLevel="1" x14ac:dyDescent="0.25">
      <c r="A27" s="34"/>
      <c r="B27" s="35" t="s">
        <v>184</v>
      </c>
      <c r="C27" s="28">
        <v>27423018.960000001</v>
      </c>
      <c r="D27" s="29">
        <v>9299359.8100000005</v>
      </c>
      <c r="E27" s="29">
        <v>8470888.4800000004</v>
      </c>
      <c r="F27" s="29">
        <v>9652770.6699999999</v>
      </c>
      <c r="G27" s="67"/>
      <c r="H27" s="67"/>
    </row>
    <row r="28" spans="1:9" s="25" customFormat="1" ht="17.100000000000001" customHeight="1" outlineLevel="2" x14ac:dyDescent="0.25">
      <c r="A28" s="46"/>
      <c r="B28" s="47" t="s">
        <v>185</v>
      </c>
      <c r="C28" s="28">
        <v>17373202.25</v>
      </c>
      <c r="D28" s="29">
        <v>4982920.95</v>
      </c>
      <c r="E28" s="29">
        <v>5058938.3600000003</v>
      </c>
      <c r="F28" s="29">
        <v>7331342.9400000004</v>
      </c>
      <c r="G28" s="67"/>
      <c r="H28" s="67"/>
    </row>
    <row r="29" spans="1:9" s="25" customFormat="1" ht="17.100000000000001" customHeight="1" outlineLevel="3" x14ac:dyDescent="0.25">
      <c r="A29" s="48"/>
      <c r="B29" s="49" t="s">
        <v>186</v>
      </c>
      <c r="C29" s="38">
        <v>9456449.5899999999</v>
      </c>
      <c r="D29" s="39">
        <v>2366000</v>
      </c>
      <c r="E29" s="39">
        <v>2436000</v>
      </c>
      <c r="F29" s="39">
        <v>4654449.59</v>
      </c>
      <c r="G29" s="69" t="s">
        <v>187</v>
      </c>
      <c r="H29" s="69"/>
    </row>
    <row r="30" spans="1:9" s="25" customFormat="1" ht="17.100000000000001" customHeight="1" outlineLevel="3" x14ac:dyDescent="0.25">
      <c r="A30" s="48"/>
      <c r="B30" s="49" t="s">
        <v>188</v>
      </c>
      <c r="C30" s="38">
        <v>2809000</v>
      </c>
      <c r="D30" s="39">
        <v>933000</v>
      </c>
      <c r="E30" s="39">
        <v>938000</v>
      </c>
      <c r="F30" s="39">
        <v>938000</v>
      </c>
      <c r="G30" s="69"/>
      <c r="H30" s="69"/>
    </row>
    <row r="31" spans="1:9" s="25" customFormat="1" ht="17.100000000000001" customHeight="1" outlineLevel="3" x14ac:dyDescent="0.25">
      <c r="A31" s="48"/>
      <c r="B31" s="49" t="s">
        <v>189</v>
      </c>
      <c r="C31" s="38">
        <v>1030714.28</v>
      </c>
      <c r="D31" s="39">
        <v>327000</v>
      </c>
      <c r="E31" s="39">
        <v>334714.28000000003</v>
      </c>
      <c r="F31" s="39">
        <v>369000</v>
      </c>
      <c r="G31" s="69"/>
      <c r="H31" s="69"/>
    </row>
    <row r="32" spans="1:9" s="25" customFormat="1" ht="17.100000000000001" customHeight="1" outlineLevel="3" x14ac:dyDescent="0.25">
      <c r="A32" s="48"/>
      <c r="B32" s="49" t="s">
        <v>190</v>
      </c>
      <c r="C32" s="38">
        <v>1825000</v>
      </c>
      <c r="D32" s="39">
        <v>543000</v>
      </c>
      <c r="E32" s="39">
        <v>646000</v>
      </c>
      <c r="F32" s="39">
        <v>636000</v>
      </c>
      <c r="G32" s="69"/>
      <c r="H32" s="69"/>
    </row>
    <row r="33" spans="1:9" s="25" customFormat="1" ht="17.100000000000001" customHeight="1" outlineLevel="3" x14ac:dyDescent="0.25">
      <c r="A33" s="48"/>
      <c r="B33" s="49" t="s">
        <v>191</v>
      </c>
      <c r="C33" s="38">
        <v>2252038.38</v>
      </c>
      <c r="D33" s="39">
        <v>813920.95</v>
      </c>
      <c r="E33" s="39">
        <v>704224.08</v>
      </c>
      <c r="F33" s="39">
        <v>733893.35</v>
      </c>
      <c r="G33" s="69"/>
      <c r="H33" s="69"/>
      <c r="I33" s="25" t="s">
        <v>349</v>
      </c>
    </row>
    <row r="34" spans="1:9" s="25" customFormat="1" ht="17.100000000000001" customHeight="1" outlineLevel="2" x14ac:dyDescent="0.25">
      <c r="A34" s="50"/>
      <c r="B34" s="51" t="s">
        <v>192</v>
      </c>
      <c r="C34" s="32">
        <v>6750</v>
      </c>
      <c r="D34" s="33">
        <v>2400</v>
      </c>
      <c r="E34" s="33">
        <v>2400</v>
      </c>
      <c r="F34" s="33">
        <v>1950</v>
      </c>
      <c r="G34" s="68"/>
      <c r="H34" s="68"/>
    </row>
    <row r="35" spans="1:9" s="25" customFormat="1" ht="17.100000000000001" customHeight="1" outlineLevel="2" x14ac:dyDescent="0.25">
      <c r="A35" s="36"/>
      <c r="B35" s="37" t="s">
        <v>193</v>
      </c>
      <c r="C35" s="38">
        <v>1881504.14</v>
      </c>
      <c r="D35" s="39">
        <v>609734.54</v>
      </c>
      <c r="E35" s="39">
        <v>623123.19999999995</v>
      </c>
      <c r="F35" s="39">
        <v>648646.40000000002</v>
      </c>
      <c r="G35" s="69"/>
      <c r="H35" s="69"/>
    </row>
    <row r="36" spans="1:9" s="25" customFormat="1" ht="17.100000000000001" customHeight="1" outlineLevel="2" x14ac:dyDescent="0.25">
      <c r="A36" s="36"/>
      <c r="B36" s="37" t="s">
        <v>194</v>
      </c>
      <c r="C36" s="38">
        <v>3343809.21</v>
      </c>
      <c r="D36" s="39">
        <v>1077259.2</v>
      </c>
      <c r="E36" s="39">
        <v>1402944.68</v>
      </c>
      <c r="F36" s="39">
        <v>863605.33</v>
      </c>
      <c r="G36" s="69"/>
      <c r="H36" s="69"/>
    </row>
    <row r="37" spans="1:9" s="25" customFormat="1" ht="17.100000000000001" customHeight="1" outlineLevel="3" x14ac:dyDescent="0.25">
      <c r="A37" s="48"/>
      <c r="B37" s="49" t="s">
        <v>195</v>
      </c>
      <c r="C37" s="38">
        <v>72000</v>
      </c>
      <c r="D37" s="39">
        <v>24000</v>
      </c>
      <c r="E37" s="39">
        <v>24000</v>
      </c>
      <c r="F37" s="39">
        <v>24000</v>
      </c>
      <c r="G37" s="69"/>
      <c r="H37" s="69"/>
    </row>
    <row r="38" spans="1:9" s="25" customFormat="1" ht="17.100000000000001" customHeight="1" outlineLevel="3" x14ac:dyDescent="0.25">
      <c r="A38" s="48"/>
      <c r="B38" s="49" t="s">
        <v>196</v>
      </c>
      <c r="C38" s="38">
        <v>470517.69</v>
      </c>
      <c r="D38" s="39">
        <v>144269.29999999999</v>
      </c>
      <c r="E38" s="39">
        <v>179474.08</v>
      </c>
      <c r="F38" s="39">
        <v>146774.31</v>
      </c>
      <c r="G38" s="69"/>
      <c r="H38" s="69"/>
    </row>
    <row r="39" spans="1:9" s="25" customFormat="1" ht="17.100000000000001" customHeight="1" outlineLevel="3" x14ac:dyDescent="0.25">
      <c r="A39" s="48"/>
      <c r="B39" s="49" t="s">
        <v>197</v>
      </c>
      <c r="C39" s="52"/>
      <c r="D39" s="53"/>
      <c r="E39" s="53"/>
      <c r="F39" s="53"/>
      <c r="G39" s="72"/>
      <c r="H39" s="72"/>
    </row>
    <row r="40" spans="1:9" s="25" customFormat="1" ht="17.100000000000001" customHeight="1" outlineLevel="3" x14ac:dyDescent="0.25">
      <c r="A40" s="48"/>
      <c r="B40" s="49" t="s">
        <v>198</v>
      </c>
      <c r="C40" s="52"/>
      <c r="D40" s="53"/>
      <c r="E40" s="53"/>
      <c r="F40" s="53"/>
      <c r="G40" s="72"/>
      <c r="H40" s="72"/>
    </row>
    <row r="41" spans="1:9" s="25" customFormat="1" ht="17.100000000000001" customHeight="1" outlineLevel="3" x14ac:dyDescent="0.25">
      <c r="A41" s="48"/>
      <c r="B41" s="49" t="s">
        <v>199</v>
      </c>
      <c r="C41" s="38">
        <v>210000</v>
      </c>
      <c r="D41" s="39">
        <v>180000</v>
      </c>
      <c r="E41" s="39">
        <v>30000</v>
      </c>
      <c r="F41" s="53"/>
      <c r="G41" s="72"/>
      <c r="H41" s="72"/>
    </row>
    <row r="42" spans="1:9" s="25" customFormat="1" ht="17.100000000000001" customHeight="1" outlineLevel="3" x14ac:dyDescent="0.25">
      <c r="A42" s="48"/>
      <c r="B42" s="49" t="s">
        <v>200</v>
      </c>
      <c r="C42" s="38">
        <v>1262729.83</v>
      </c>
      <c r="D42" s="39">
        <v>530054.21</v>
      </c>
      <c r="E42" s="39">
        <v>253500</v>
      </c>
      <c r="F42" s="39">
        <v>479175.62</v>
      </c>
      <c r="G42" s="69"/>
      <c r="H42" s="69"/>
    </row>
    <row r="43" spans="1:9" s="25" customFormat="1" ht="17.100000000000001" customHeight="1" outlineLevel="3" x14ac:dyDescent="0.25">
      <c r="A43" s="48"/>
      <c r="B43" s="49" t="s">
        <v>201</v>
      </c>
      <c r="C43" s="38">
        <v>112369.60000000001</v>
      </c>
      <c r="D43" s="39">
        <v>2425</v>
      </c>
      <c r="E43" s="39">
        <v>92586.7</v>
      </c>
      <c r="F43" s="39">
        <v>17357.900000000001</v>
      </c>
      <c r="G43" s="69"/>
      <c r="H43" s="69"/>
    </row>
    <row r="44" spans="1:9" s="25" customFormat="1" ht="17.100000000000001" customHeight="1" outlineLevel="3" x14ac:dyDescent="0.25">
      <c r="A44" s="48"/>
      <c r="B44" s="49" t="s">
        <v>202</v>
      </c>
      <c r="C44" s="38">
        <v>90172.5</v>
      </c>
      <c r="D44" s="53"/>
      <c r="E44" s="39">
        <v>57075</v>
      </c>
      <c r="F44" s="39">
        <v>33097.5</v>
      </c>
      <c r="G44" s="69"/>
      <c r="H44" s="69"/>
    </row>
    <row r="45" spans="1:9" s="25" customFormat="1" ht="17.100000000000001" customHeight="1" outlineLevel="3" x14ac:dyDescent="0.25">
      <c r="A45" s="48"/>
      <c r="B45" s="49" t="s">
        <v>203</v>
      </c>
      <c r="C45" s="38">
        <v>844764.49</v>
      </c>
      <c r="D45" s="39">
        <v>126510.69</v>
      </c>
      <c r="E45" s="39">
        <v>718253.8</v>
      </c>
      <c r="F45" s="53"/>
      <c r="G45" s="72"/>
      <c r="H45" s="72"/>
    </row>
    <row r="46" spans="1:9" s="25" customFormat="1" ht="17.100000000000001" customHeight="1" outlineLevel="3" x14ac:dyDescent="0.25">
      <c r="A46" s="48"/>
      <c r="B46" s="49" t="s">
        <v>204</v>
      </c>
      <c r="C46" s="38">
        <v>120000</v>
      </c>
      <c r="D46" s="39">
        <v>45000</v>
      </c>
      <c r="E46" s="39">
        <v>15000</v>
      </c>
      <c r="F46" s="39">
        <v>60000</v>
      </c>
      <c r="G46" s="69"/>
      <c r="H46" s="69"/>
    </row>
    <row r="47" spans="1:9" s="25" customFormat="1" ht="17.100000000000001" customHeight="1" outlineLevel="3" x14ac:dyDescent="0.25">
      <c r="A47" s="48"/>
      <c r="B47" s="49" t="s">
        <v>205</v>
      </c>
      <c r="C47" s="38">
        <v>10900</v>
      </c>
      <c r="D47" s="53"/>
      <c r="E47" s="39">
        <v>4000</v>
      </c>
      <c r="F47" s="39">
        <v>6900</v>
      </c>
      <c r="G47" s="69"/>
      <c r="H47" s="69"/>
    </row>
    <row r="48" spans="1:9" s="25" customFormat="1" ht="17.100000000000001" customHeight="1" outlineLevel="2" x14ac:dyDescent="0.25">
      <c r="A48" s="36"/>
      <c r="B48" s="37" t="s">
        <v>206</v>
      </c>
      <c r="C48" s="38">
        <v>513133.88</v>
      </c>
      <c r="D48" s="39">
        <v>180017.83</v>
      </c>
      <c r="E48" s="39">
        <v>250015.95</v>
      </c>
      <c r="F48" s="39">
        <v>83100.100000000006</v>
      </c>
      <c r="G48" s="69"/>
      <c r="H48" s="69"/>
    </row>
    <row r="49" spans="1:8" s="25" customFormat="1" ht="17.100000000000001" customHeight="1" outlineLevel="2" x14ac:dyDescent="0.25">
      <c r="A49" s="36"/>
      <c r="B49" s="37" t="s">
        <v>207</v>
      </c>
      <c r="C49" s="38">
        <v>4304619.4800000004</v>
      </c>
      <c r="D49" s="39">
        <v>2447027.29</v>
      </c>
      <c r="E49" s="39">
        <v>1133466.29</v>
      </c>
      <c r="F49" s="39">
        <v>724125.9</v>
      </c>
      <c r="G49" s="69"/>
      <c r="H49" s="69"/>
    </row>
    <row r="50" spans="1:8" s="25" customFormat="1" ht="17.100000000000001" customHeight="1" outlineLevel="1" x14ac:dyDescent="0.25">
      <c r="A50" s="34"/>
      <c r="B50" s="35" t="s">
        <v>209</v>
      </c>
      <c r="C50" s="28">
        <v>29287376.09</v>
      </c>
      <c r="D50" s="29">
        <v>7913714.6399999997</v>
      </c>
      <c r="E50" s="29">
        <v>10064908.84</v>
      </c>
      <c r="F50" s="29">
        <v>11308752.609999999</v>
      </c>
      <c r="G50" s="67"/>
      <c r="H50" s="67"/>
    </row>
    <row r="51" spans="1:8" s="25" customFormat="1" ht="17.100000000000001" customHeight="1" outlineLevel="2" x14ac:dyDescent="0.25">
      <c r="A51" s="46"/>
      <c r="B51" s="47" t="s">
        <v>210</v>
      </c>
      <c r="C51" s="28">
        <v>12441983.35</v>
      </c>
      <c r="D51" s="29">
        <v>4039569.3</v>
      </c>
      <c r="E51" s="29">
        <v>4098094.26</v>
      </c>
      <c r="F51" s="29">
        <v>4304319.79</v>
      </c>
      <c r="G51" s="67"/>
      <c r="H51" s="67"/>
    </row>
    <row r="52" spans="1:8" s="25" customFormat="1" ht="17.100000000000001" customHeight="1" outlineLevel="3" x14ac:dyDescent="0.25">
      <c r="A52" s="48"/>
      <c r="B52" s="49" t="s">
        <v>211</v>
      </c>
      <c r="C52" s="38">
        <v>1037972</v>
      </c>
      <c r="D52" s="39">
        <v>346000</v>
      </c>
      <c r="E52" s="39">
        <v>346000</v>
      </c>
      <c r="F52" s="39">
        <v>345972</v>
      </c>
      <c r="G52" s="69"/>
      <c r="H52" s="69"/>
    </row>
    <row r="53" spans="1:8" s="25" customFormat="1" ht="17.100000000000001" customHeight="1" outlineLevel="3" x14ac:dyDescent="0.25">
      <c r="A53" s="48"/>
      <c r="B53" s="49" t="s">
        <v>212</v>
      </c>
      <c r="C53" s="38">
        <v>2726278.81</v>
      </c>
      <c r="D53" s="39">
        <v>867000</v>
      </c>
      <c r="E53" s="39">
        <v>867000</v>
      </c>
      <c r="F53" s="39">
        <v>992278.81</v>
      </c>
      <c r="G53" s="69"/>
      <c r="H53" s="69"/>
    </row>
    <row r="54" spans="1:8" s="25" customFormat="1" ht="17.100000000000001" customHeight="1" outlineLevel="3" x14ac:dyDescent="0.25">
      <c r="A54" s="48"/>
      <c r="B54" s="49" t="s">
        <v>213</v>
      </c>
      <c r="C54" s="38">
        <v>1640024.89</v>
      </c>
      <c r="D54" s="39">
        <v>492410.08</v>
      </c>
      <c r="E54" s="39">
        <v>550871.43000000005</v>
      </c>
      <c r="F54" s="39">
        <v>596743.38</v>
      </c>
      <c r="G54" s="69"/>
      <c r="H54" s="69"/>
    </row>
    <row r="55" spans="1:8" s="25" customFormat="1" ht="17.100000000000001" customHeight="1" outlineLevel="3" x14ac:dyDescent="0.25">
      <c r="A55" s="48"/>
      <c r="B55" s="49" t="s">
        <v>214</v>
      </c>
      <c r="C55" s="38">
        <v>1062000</v>
      </c>
      <c r="D55" s="39">
        <v>332363.64</v>
      </c>
      <c r="E55" s="39">
        <v>345500</v>
      </c>
      <c r="F55" s="39">
        <v>384136.36</v>
      </c>
      <c r="G55" s="69"/>
      <c r="H55" s="69"/>
    </row>
    <row r="56" spans="1:8" s="25" customFormat="1" ht="17.100000000000001" customHeight="1" outlineLevel="3" x14ac:dyDescent="0.25">
      <c r="A56" s="48"/>
      <c r="B56" s="49" t="s">
        <v>215</v>
      </c>
      <c r="C56" s="38">
        <v>2424301.0499999998</v>
      </c>
      <c r="D56" s="39">
        <v>809550.05</v>
      </c>
      <c r="E56" s="39">
        <v>808114.6</v>
      </c>
      <c r="F56" s="39">
        <v>806636.4</v>
      </c>
      <c r="G56" s="69"/>
      <c r="H56" s="69"/>
    </row>
    <row r="57" spans="1:8" s="25" customFormat="1" ht="17.100000000000001" customHeight="1" outlineLevel="3" x14ac:dyDescent="0.25">
      <c r="A57" s="48"/>
      <c r="B57" s="49" t="s">
        <v>216</v>
      </c>
      <c r="C57" s="38">
        <v>3551406.6</v>
      </c>
      <c r="D57" s="39">
        <v>1192245.53</v>
      </c>
      <c r="E57" s="39">
        <v>1180608.23</v>
      </c>
      <c r="F57" s="39">
        <v>1178552.8400000001</v>
      </c>
      <c r="G57" s="69" t="s">
        <v>352</v>
      </c>
      <c r="H57" s="69"/>
    </row>
    <row r="58" spans="1:8" s="25" customFormat="1" ht="17.100000000000001" customHeight="1" outlineLevel="2" x14ac:dyDescent="0.25">
      <c r="A58" s="36"/>
      <c r="B58" s="37" t="s">
        <v>217</v>
      </c>
      <c r="C58" s="38">
        <v>1731271.1</v>
      </c>
      <c r="D58" s="39">
        <v>516957.5</v>
      </c>
      <c r="E58" s="39">
        <v>606034.9</v>
      </c>
      <c r="F58" s="39">
        <v>608278.69999999995</v>
      </c>
      <c r="G58" s="69"/>
      <c r="H58" s="69"/>
    </row>
    <row r="59" spans="1:8" s="25" customFormat="1" ht="17.100000000000001" customHeight="1" outlineLevel="2" x14ac:dyDescent="0.25">
      <c r="A59" s="36"/>
      <c r="B59" s="37" t="s">
        <v>218</v>
      </c>
      <c r="C59" s="38">
        <v>3530776.09</v>
      </c>
      <c r="D59" s="39">
        <v>753450.74</v>
      </c>
      <c r="E59" s="39">
        <v>1916626.74</v>
      </c>
      <c r="F59" s="39">
        <v>860698.61</v>
      </c>
      <c r="G59" s="69"/>
      <c r="H59" s="69"/>
    </row>
    <row r="60" spans="1:8" s="25" customFormat="1" ht="17.100000000000001" customHeight="1" outlineLevel="2" x14ac:dyDescent="0.25">
      <c r="A60" s="36"/>
      <c r="B60" s="37" t="s">
        <v>219</v>
      </c>
      <c r="C60" s="38">
        <v>232216.61</v>
      </c>
      <c r="D60" s="39">
        <v>13324.15</v>
      </c>
      <c r="E60" s="39">
        <v>112497.42</v>
      </c>
      <c r="F60" s="39">
        <v>106395.04</v>
      </c>
      <c r="G60" s="69"/>
      <c r="H60" s="69"/>
    </row>
    <row r="61" spans="1:8" s="25" customFormat="1" ht="17.100000000000001" customHeight="1" outlineLevel="2" x14ac:dyDescent="0.25">
      <c r="A61" s="36"/>
      <c r="B61" s="37" t="s">
        <v>220</v>
      </c>
      <c r="C61" s="38">
        <v>3223539.11</v>
      </c>
      <c r="D61" s="39">
        <v>1053127.8700000001</v>
      </c>
      <c r="E61" s="39">
        <v>1234914.31</v>
      </c>
      <c r="F61" s="39">
        <v>935496.93</v>
      </c>
      <c r="G61" s="69"/>
      <c r="H61" s="69"/>
    </row>
    <row r="62" spans="1:8" s="25" customFormat="1" ht="17.100000000000001" customHeight="1" outlineLevel="2" x14ac:dyDescent="0.25">
      <c r="A62" s="36"/>
      <c r="B62" s="37" t="s">
        <v>221</v>
      </c>
      <c r="C62" s="38">
        <v>2384686.9300000002</v>
      </c>
      <c r="D62" s="39">
        <v>557345.89</v>
      </c>
      <c r="E62" s="39">
        <v>1416343.14</v>
      </c>
      <c r="F62" s="39">
        <v>410997.9</v>
      </c>
      <c r="G62" s="69"/>
      <c r="H62" s="69"/>
    </row>
    <row r="63" spans="1:8" s="25" customFormat="1" ht="17.100000000000001" customHeight="1" outlineLevel="2" x14ac:dyDescent="0.25">
      <c r="A63" s="36"/>
      <c r="B63" s="37" t="s">
        <v>222</v>
      </c>
      <c r="C63" s="38">
        <v>74527.12</v>
      </c>
      <c r="D63" s="39">
        <v>19565.400000000001</v>
      </c>
      <c r="E63" s="39">
        <v>24158.41</v>
      </c>
      <c r="F63" s="39">
        <v>30803.31</v>
      </c>
      <c r="G63" s="69"/>
      <c r="H63" s="69"/>
    </row>
    <row r="64" spans="1:8" s="25" customFormat="1" ht="17.100000000000001" customHeight="1" outlineLevel="2" x14ac:dyDescent="0.25">
      <c r="A64" s="36"/>
      <c r="B64" s="37" t="s">
        <v>223</v>
      </c>
      <c r="C64" s="38">
        <v>214007.29</v>
      </c>
      <c r="D64" s="39">
        <v>79787.37</v>
      </c>
      <c r="E64" s="39">
        <v>106304.55</v>
      </c>
      <c r="F64" s="39">
        <v>27915.37</v>
      </c>
      <c r="G64" s="69"/>
      <c r="H64" s="69"/>
    </row>
    <row r="65" spans="1:8" s="25" customFormat="1" ht="17.100000000000001" customHeight="1" outlineLevel="2" x14ac:dyDescent="0.25">
      <c r="A65" s="36"/>
      <c r="B65" s="37" t="s">
        <v>224</v>
      </c>
      <c r="C65" s="54">
        <v>589</v>
      </c>
      <c r="D65" s="53"/>
      <c r="E65" s="53"/>
      <c r="F65" s="55">
        <v>589</v>
      </c>
      <c r="G65" s="73"/>
      <c r="H65" s="73"/>
    </row>
    <row r="66" spans="1:8" s="25" customFormat="1" ht="17.100000000000001" customHeight="1" outlineLevel="2" x14ac:dyDescent="0.25">
      <c r="A66" s="36"/>
      <c r="B66" s="37" t="s">
        <v>225</v>
      </c>
      <c r="C66" s="38">
        <v>129140</v>
      </c>
      <c r="D66" s="39">
        <v>32595</v>
      </c>
      <c r="E66" s="39">
        <v>47375</v>
      </c>
      <c r="F66" s="39">
        <v>49170</v>
      </c>
      <c r="G66" s="69"/>
      <c r="H66" s="69"/>
    </row>
    <row r="67" spans="1:8" s="25" customFormat="1" ht="17.100000000000001" customHeight="1" outlineLevel="2" x14ac:dyDescent="0.25">
      <c r="A67" s="36"/>
      <c r="B67" s="37" t="s">
        <v>226</v>
      </c>
      <c r="C67" s="38">
        <v>579147.24</v>
      </c>
      <c r="D67" s="39">
        <v>23551.57</v>
      </c>
      <c r="E67" s="39">
        <v>55398.41</v>
      </c>
      <c r="F67" s="39">
        <v>500197.26</v>
      </c>
      <c r="G67" s="69"/>
      <c r="H67" s="69"/>
    </row>
    <row r="68" spans="1:8" s="25" customFormat="1" ht="17.100000000000001" customHeight="1" outlineLevel="2" x14ac:dyDescent="0.25">
      <c r="A68" s="36"/>
      <c r="B68" s="37" t="s">
        <v>227</v>
      </c>
      <c r="C68" s="38">
        <v>1466051.8</v>
      </c>
      <c r="D68" s="39">
        <v>299958.14</v>
      </c>
      <c r="E68" s="39">
        <v>235280.29</v>
      </c>
      <c r="F68" s="39">
        <v>930813.37</v>
      </c>
      <c r="G68" s="69"/>
      <c r="H68" s="69"/>
    </row>
    <row r="69" spans="1:8" s="25" customFormat="1" ht="17.100000000000001" customHeight="1" outlineLevel="2" x14ac:dyDescent="0.25">
      <c r="A69" s="36"/>
      <c r="B69" s="37" t="s">
        <v>228</v>
      </c>
      <c r="C69" s="38">
        <v>3279440.45</v>
      </c>
      <c r="D69" s="39">
        <v>524481.71</v>
      </c>
      <c r="E69" s="39">
        <v>211881.41</v>
      </c>
      <c r="F69" s="39">
        <v>2543077.33</v>
      </c>
      <c r="G69" s="69"/>
      <c r="H69" s="69"/>
    </row>
    <row r="70" spans="1:8" s="25" customFormat="1" ht="17.100000000000001" customHeight="1" x14ac:dyDescent="0.25">
      <c r="A70" s="26"/>
      <c r="B70" s="27" t="s">
        <v>229</v>
      </c>
      <c r="C70" s="28">
        <v>81862462.439999998</v>
      </c>
      <c r="D70" s="29">
        <v>29874064.41</v>
      </c>
      <c r="E70" s="29">
        <v>24582300.239999998</v>
      </c>
      <c r="F70" s="29">
        <v>27406097.789999999</v>
      </c>
      <c r="G70" s="67"/>
      <c r="H70" s="67"/>
    </row>
    <row r="71" spans="1:8" s="25" customFormat="1" ht="17.100000000000001" customHeight="1" x14ac:dyDescent="0.25">
      <c r="A71" s="26"/>
      <c r="B71" s="27" t="s">
        <v>230</v>
      </c>
      <c r="C71" s="28">
        <v>3570072.74</v>
      </c>
      <c r="D71" s="29">
        <v>2259504.23</v>
      </c>
      <c r="E71" s="29">
        <v>839445.6</v>
      </c>
      <c r="F71" s="29">
        <v>471122.91</v>
      </c>
      <c r="G71" s="67"/>
      <c r="H71" s="67"/>
    </row>
    <row r="72" spans="1:8" s="25" customFormat="1" ht="17.100000000000001" customHeight="1" outlineLevel="1" x14ac:dyDescent="0.25">
      <c r="A72" s="30"/>
      <c r="B72" s="31" t="s">
        <v>231</v>
      </c>
      <c r="C72" s="32">
        <v>7712.15</v>
      </c>
      <c r="D72" s="33">
        <v>6709.88</v>
      </c>
      <c r="E72" s="43"/>
      <c r="F72" s="33">
        <v>1002.27</v>
      </c>
      <c r="G72" s="68"/>
      <c r="H72" s="68"/>
    </row>
    <row r="73" spans="1:8" s="25" customFormat="1" ht="17.100000000000001" customHeight="1" outlineLevel="1" x14ac:dyDescent="0.25">
      <c r="A73" s="30"/>
      <c r="B73" s="31" t="s">
        <v>232</v>
      </c>
      <c r="C73" s="32">
        <v>234516.44</v>
      </c>
      <c r="D73" s="33">
        <v>118780.08</v>
      </c>
      <c r="E73" s="33">
        <v>46125.87</v>
      </c>
      <c r="F73" s="33">
        <v>69610.490000000005</v>
      </c>
      <c r="G73" s="68"/>
      <c r="H73" s="68"/>
    </row>
    <row r="74" spans="1:8" s="25" customFormat="1" ht="17.100000000000001" customHeight="1" outlineLevel="1" x14ac:dyDescent="0.25">
      <c r="A74" s="30"/>
      <c r="B74" s="31" t="s">
        <v>233</v>
      </c>
      <c r="C74" s="32">
        <v>1358280.26</v>
      </c>
      <c r="D74" s="33">
        <v>1331495.53</v>
      </c>
      <c r="E74" s="33">
        <v>26784.73</v>
      </c>
      <c r="F74" s="43"/>
      <c r="G74" s="70"/>
      <c r="H74" s="70"/>
    </row>
    <row r="75" spans="1:8" s="25" customFormat="1" ht="17.100000000000001" customHeight="1" outlineLevel="1" x14ac:dyDescent="0.25">
      <c r="A75" s="30"/>
      <c r="B75" s="31" t="s">
        <v>234</v>
      </c>
      <c r="C75" s="32">
        <v>1969563.89</v>
      </c>
      <c r="D75" s="33">
        <v>802518.74</v>
      </c>
      <c r="E75" s="33">
        <v>766535</v>
      </c>
      <c r="F75" s="33">
        <v>400510.15</v>
      </c>
      <c r="G75" s="68"/>
      <c r="H75" s="68"/>
    </row>
    <row r="76" spans="1:8" s="25" customFormat="1" ht="17.100000000000001" customHeight="1" x14ac:dyDescent="0.25">
      <c r="A76" s="26"/>
      <c r="B76" s="27" t="s">
        <v>235</v>
      </c>
      <c r="C76" s="28">
        <v>1795135.92</v>
      </c>
      <c r="D76" s="29">
        <v>883793.37</v>
      </c>
      <c r="E76" s="29">
        <v>490033.91999999998</v>
      </c>
      <c r="F76" s="29">
        <v>421308.63</v>
      </c>
      <c r="G76" s="67"/>
      <c r="H76" s="67"/>
    </row>
    <row r="77" spans="1:8" s="25" customFormat="1" ht="17.100000000000001" customHeight="1" outlineLevel="1" x14ac:dyDescent="0.25">
      <c r="A77" s="40"/>
      <c r="B77" s="41" t="s">
        <v>236</v>
      </c>
      <c r="C77" s="38">
        <v>982710.78</v>
      </c>
      <c r="D77" s="39">
        <v>380810.66</v>
      </c>
      <c r="E77" s="39">
        <v>444534.68</v>
      </c>
      <c r="F77" s="39">
        <v>157365.44</v>
      </c>
      <c r="G77" s="69"/>
      <c r="H77" s="69"/>
    </row>
    <row r="78" spans="1:8" s="25" customFormat="1" ht="17.100000000000001" customHeight="1" outlineLevel="1" x14ac:dyDescent="0.25">
      <c r="A78" s="40"/>
      <c r="B78" s="41" t="s">
        <v>237</v>
      </c>
      <c r="C78" s="38">
        <v>272813.45</v>
      </c>
      <c r="D78" s="39">
        <v>73956.2</v>
      </c>
      <c r="E78" s="39">
        <v>37866.78</v>
      </c>
      <c r="F78" s="39">
        <v>160990.47</v>
      </c>
      <c r="G78" s="69"/>
      <c r="H78" s="69"/>
    </row>
    <row r="79" spans="1:8" s="25" customFormat="1" ht="17.100000000000001" customHeight="1" outlineLevel="1" x14ac:dyDescent="0.25">
      <c r="A79" s="40"/>
      <c r="B79" s="41" t="s">
        <v>238</v>
      </c>
      <c r="C79" s="38">
        <v>539611.68999999994</v>
      </c>
      <c r="D79" s="39">
        <v>429026.51</v>
      </c>
      <c r="E79" s="39">
        <v>7632.46</v>
      </c>
      <c r="F79" s="39">
        <v>102952.72</v>
      </c>
      <c r="G79" s="69"/>
      <c r="H79" s="69"/>
    </row>
    <row r="80" spans="1:8" s="25" customFormat="1" ht="17.100000000000001" customHeight="1" x14ac:dyDescent="0.25">
      <c r="A80" s="26"/>
      <c r="B80" s="27" t="s">
        <v>239</v>
      </c>
      <c r="C80" s="28">
        <v>80075038.670000002</v>
      </c>
      <c r="D80" s="29">
        <v>28996980.920000002</v>
      </c>
      <c r="E80" s="29">
        <v>24092266.32</v>
      </c>
      <c r="F80" s="29">
        <v>26985791.43</v>
      </c>
      <c r="G80" s="67"/>
      <c r="H80" s="67"/>
    </row>
    <row r="81" spans="1:8" s="25" customFormat="1" ht="17.100000000000001" customHeight="1" x14ac:dyDescent="0.25">
      <c r="A81" s="26"/>
      <c r="B81" s="27" t="s">
        <v>240</v>
      </c>
      <c r="C81" s="44">
        <v>37</v>
      </c>
      <c r="D81" s="45">
        <v>41</v>
      </c>
      <c r="E81" s="45">
        <v>32</v>
      </c>
      <c r="F81" s="45">
        <v>38</v>
      </c>
      <c r="G81" s="71"/>
      <c r="H81" s="71"/>
    </row>
    <row r="82" spans="1:8" s="25" customFormat="1" ht="17.100000000000001" customHeight="1" x14ac:dyDescent="0.25">
      <c r="A82" s="26"/>
      <c r="B82" s="27" t="s">
        <v>241</v>
      </c>
      <c r="C82" s="28">
        <v>208819564.99000001</v>
      </c>
      <c r="D82" s="29">
        <v>69923820.370000005</v>
      </c>
      <c r="E82" s="29">
        <v>70328266.620000005</v>
      </c>
      <c r="F82" s="29">
        <v>68567478</v>
      </c>
      <c r="G82" s="67"/>
      <c r="H82" s="67"/>
    </row>
    <row r="83" spans="1:8" s="25" customFormat="1" ht="17.100000000000001" customHeight="1" x14ac:dyDescent="0.25">
      <c r="A83" s="26"/>
      <c r="B83" s="27" t="s">
        <v>242</v>
      </c>
      <c r="C83" s="28">
        <v>79964993.109999999</v>
      </c>
      <c r="D83" s="29">
        <v>30708848.760000002</v>
      </c>
      <c r="E83" s="29">
        <v>23458959.579999998</v>
      </c>
      <c r="F83" s="29">
        <v>25797184.77</v>
      </c>
      <c r="G83" s="67"/>
      <c r="H83" s="67"/>
    </row>
    <row r="84" spans="1:8" s="25" customFormat="1" ht="17.100000000000001" customHeight="1" x14ac:dyDescent="0.25">
      <c r="A84" s="26"/>
      <c r="B84" s="27" t="s">
        <v>243</v>
      </c>
      <c r="C84" s="44">
        <v>38</v>
      </c>
      <c r="D84" s="45">
        <v>44</v>
      </c>
      <c r="E84" s="45">
        <v>33</v>
      </c>
      <c r="F84" s="45">
        <v>38</v>
      </c>
      <c r="G84" s="71"/>
      <c r="H84" s="71"/>
    </row>
    <row r="85" spans="1:8" s="25" customFormat="1" ht="17.100000000000001" customHeight="1" x14ac:dyDescent="0.25">
      <c r="A85" s="26"/>
      <c r="B85" s="27" t="s">
        <v>244</v>
      </c>
      <c r="C85" s="28">
        <v>1299294.92</v>
      </c>
      <c r="D85" s="29">
        <v>440397.37</v>
      </c>
      <c r="E85" s="29">
        <v>383827.88</v>
      </c>
      <c r="F85" s="29">
        <v>475069.67</v>
      </c>
      <c r="G85" s="67"/>
      <c r="H85" s="67"/>
    </row>
    <row r="86" spans="1:8" s="25" customFormat="1" ht="17.100000000000001" customHeight="1" outlineLevel="1" x14ac:dyDescent="0.25">
      <c r="A86" s="40"/>
      <c r="B86" s="41" t="s">
        <v>245</v>
      </c>
      <c r="C86" s="38">
        <v>1299294.92</v>
      </c>
      <c r="D86" s="39">
        <v>440397.37</v>
      </c>
      <c r="E86" s="39">
        <v>383827.88</v>
      </c>
      <c r="F86" s="39">
        <v>475069.67</v>
      </c>
      <c r="G86" s="69"/>
      <c r="H86" s="69"/>
    </row>
    <row r="87" spans="1:8" s="25" customFormat="1" ht="17.100000000000001" customHeight="1" x14ac:dyDescent="0.25">
      <c r="A87" s="26"/>
      <c r="B87" s="27" t="s">
        <v>246</v>
      </c>
      <c r="C87" s="28">
        <v>10930337.84</v>
      </c>
      <c r="D87" s="29">
        <v>3661218.59</v>
      </c>
      <c r="E87" s="29">
        <v>3679974.49</v>
      </c>
      <c r="F87" s="29">
        <v>3589144.76</v>
      </c>
      <c r="G87" s="67"/>
      <c r="H87" s="67"/>
    </row>
    <row r="88" spans="1:8" s="25" customFormat="1" ht="17.100000000000001" customHeight="1" outlineLevel="1" x14ac:dyDescent="0.25">
      <c r="A88" s="40"/>
      <c r="B88" s="41" t="s">
        <v>247</v>
      </c>
      <c r="C88" s="38">
        <v>10930337.84</v>
      </c>
      <c r="D88" s="39">
        <v>3661218.59</v>
      </c>
      <c r="E88" s="39">
        <v>3679974.49</v>
      </c>
      <c r="F88" s="39">
        <v>3589144.76</v>
      </c>
      <c r="G88" s="69"/>
      <c r="H88" s="69"/>
    </row>
    <row r="89" spans="1:8" s="25" customFormat="1" ht="17.100000000000001" customHeight="1" x14ac:dyDescent="0.25">
      <c r="A89" s="26"/>
      <c r="B89" s="27" t="s">
        <v>248</v>
      </c>
      <c r="C89" s="28">
        <v>16077964.369999999</v>
      </c>
      <c r="D89" s="29">
        <v>8446173.8800000008</v>
      </c>
      <c r="E89" s="29">
        <v>3912499.03</v>
      </c>
      <c r="F89" s="29">
        <v>3719291.46</v>
      </c>
      <c r="G89" s="67"/>
      <c r="H89" s="67"/>
    </row>
    <row r="90" spans="1:8" s="25" customFormat="1" ht="17.100000000000001" customHeight="1" outlineLevel="1" x14ac:dyDescent="0.25">
      <c r="A90" s="40"/>
      <c r="B90" s="41" t="s">
        <v>249</v>
      </c>
      <c r="C90" s="38">
        <v>16077964.369999999</v>
      </c>
      <c r="D90" s="39">
        <v>8446173.8800000008</v>
      </c>
      <c r="E90" s="39">
        <v>3912499.03</v>
      </c>
      <c r="F90" s="39">
        <v>3719291.46</v>
      </c>
      <c r="G90" s="69"/>
      <c r="H90" s="69"/>
    </row>
    <row r="91" spans="1:8" s="25" customFormat="1" ht="17.100000000000001" customHeight="1" x14ac:dyDescent="0.25">
      <c r="A91" s="26"/>
      <c r="B91" s="27" t="s">
        <v>250</v>
      </c>
      <c r="C91" s="28">
        <v>51767441.539999999</v>
      </c>
      <c r="D91" s="29">
        <v>16449191.08</v>
      </c>
      <c r="E91" s="29">
        <v>16115964.92</v>
      </c>
      <c r="F91" s="29">
        <v>19202285.539999999</v>
      </c>
      <c r="G91" s="67"/>
      <c r="H91" s="67"/>
    </row>
    <row r="92" spans="1:8" s="25" customFormat="1" ht="17.100000000000001" customHeight="1" x14ac:dyDescent="0.25">
      <c r="A92" s="26"/>
      <c r="B92" s="27" t="s">
        <v>251</v>
      </c>
      <c r="C92" s="56"/>
      <c r="D92" s="57"/>
      <c r="E92" s="57"/>
      <c r="F92" s="57"/>
      <c r="G92" s="74"/>
      <c r="H92" s="74"/>
    </row>
    <row r="93" spans="1:8" s="25" customFormat="1" ht="17.100000000000001" customHeight="1" x14ac:dyDescent="0.25">
      <c r="A93" s="26"/>
      <c r="B93" s="27" t="s">
        <v>252</v>
      </c>
      <c r="C93" s="28">
        <v>51767441.539999999</v>
      </c>
      <c r="D93" s="29">
        <v>16449191.08</v>
      </c>
      <c r="E93" s="29">
        <v>16115964.92</v>
      </c>
      <c r="F93" s="29">
        <v>19202285.539999999</v>
      </c>
      <c r="G93" s="67"/>
      <c r="H93" s="67"/>
    </row>
    <row r="94" spans="1:8" s="25" customFormat="1" ht="17.100000000000001" customHeight="1" x14ac:dyDescent="0.25">
      <c r="A94" s="26"/>
      <c r="B94" s="27" t="s">
        <v>253</v>
      </c>
      <c r="C94" s="44">
        <v>24</v>
      </c>
      <c r="D94" s="45">
        <v>24</v>
      </c>
      <c r="E94" s="45">
        <v>21</v>
      </c>
      <c r="F94" s="45">
        <v>27</v>
      </c>
      <c r="G94" s="71"/>
      <c r="H94" s="71"/>
    </row>
  </sheetData>
  <mergeCells count="7">
    <mergeCell ref="G2:G4"/>
    <mergeCell ref="H2:H4"/>
    <mergeCell ref="A2:B4"/>
    <mergeCell ref="C2:C4"/>
    <mergeCell ref="D2:D4"/>
    <mergeCell ref="E2:E4"/>
    <mergeCell ref="F2:F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9d790e-00f0-4796-811f-0a156bd27186">
      <Terms xmlns="http://schemas.microsoft.com/office/infopath/2007/PartnerControls"/>
    </lcf76f155ced4ddcb4097134ff3c332f>
    <TaxCatchAll xmlns="ecdb743d-adfa-488b-9f7e-3838d66fa7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CADC4A6EF5FF3438B6D1215248A4603" ma:contentTypeVersion="19" ma:contentTypeDescription="Створення нового документа." ma:contentTypeScope="" ma:versionID="020ec745e8d33ce34f754b60a0ac8f50">
  <xsd:schema xmlns:xsd="http://www.w3.org/2001/XMLSchema" xmlns:xs="http://www.w3.org/2001/XMLSchema" xmlns:p="http://schemas.microsoft.com/office/2006/metadata/properties" xmlns:ns2="da9d790e-00f0-4796-811f-0a156bd27186" xmlns:ns3="ecdb743d-adfa-488b-9f7e-3838d66fa7cb" targetNamespace="http://schemas.microsoft.com/office/2006/metadata/properties" ma:root="true" ma:fieldsID="92c845af428add90ead0bb1f264f4d56" ns2:_="" ns3:_="">
    <xsd:import namespace="da9d790e-00f0-4796-811f-0a156bd27186"/>
    <xsd:import namespace="ecdb743d-adfa-488b-9f7e-3838d66fa7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d790e-00f0-4796-811f-0a156bd27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2e3d557b-eccc-4e69-a8a3-a594fba0fd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b743d-adfa-488b-9f7e-3838d66fa7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34327f6-d3c3-4be4-ad59-4e973072bf93}" ma:internalName="TaxCatchAll" ma:showField="CatchAllData" ma:web="ecdb743d-adfa-488b-9f7e-3838d66fa7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618EA-8701-4C90-A985-708DF176B303}">
  <ds:schemaRefs>
    <ds:schemaRef ds:uri="http://schemas.microsoft.com/office/2006/metadata/properties"/>
    <ds:schemaRef ds:uri="http://www.w3.org/2000/xmlns/"/>
    <ds:schemaRef ds:uri="da9d790e-00f0-4796-811f-0a156bd27186"/>
    <ds:schemaRef ds:uri="http://schemas.microsoft.com/office/infopath/2007/PartnerControls"/>
    <ds:schemaRef ds:uri="ecdb743d-adfa-488b-9f7e-3838d66fa7cb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7163D69E-4DC7-4916-971E-5C30ECF1FA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C7C9D-D6C1-4C0E-A31F-B55FDFB559F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a9d790e-00f0-4796-811f-0a156bd27186"/>
    <ds:schemaRef ds:uri="ecdb743d-adfa-488b-9f7e-3838d66fa7cb"/>
  </ds:schemaRefs>
</ds:datastoreItem>
</file>

<file path=docMetadata/LabelInfo.xml><?xml version="1.0" encoding="utf-8"?>
<clbl:labelList xmlns:clbl="http://schemas.microsoft.com/office/2020/mipLabelMetadata">
  <clbl:label id="{20f16970-e3ad-4262-b6a8-1c53191176aa}" enabled="0" method="" siteId="{20f16970-e3ad-4262-b6a8-1c53191176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Model A - direct</vt:lpstr>
      <vt:lpstr>Models</vt:lpstr>
      <vt:lpstr>Finance</vt:lpstr>
      <vt:lpstr>Todo</vt:lpstr>
      <vt:lpstr>Продукти</vt:lpstr>
      <vt:lpstr>Структура відділів</vt:lpstr>
      <vt:lpstr>fin исходник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 Kuznietsov</dc:creator>
  <cp:keywords/>
  <dc:description/>
  <cp:lastModifiedBy>Eduard Kuznietsov</cp:lastModifiedBy>
  <cp:revision/>
  <dcterms:created xsi:type="dcterms:W3CDTF">2026-07-24T10:41:32Z</dcterms:created>
  <dcterms:modified xsi:type="dcterms:W3CDTF">2026-08-27T18:23:07Z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0x0101000CADC4A6EF5FF3438B6D1215248A4603</vt:lpwstr>
  </property>
  <property fmtid="{D5CDD505-2E9C-101B-9397-08002B2CF9AE}" pid="3" name="MediaServiceImageTags">
    <vt:lpwstr/>
  </property>
</Properties>
</file>